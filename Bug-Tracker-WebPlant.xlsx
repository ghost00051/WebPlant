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Реестр багов" sheetId="1" state="visible" r:id="rId1"/>
    <sheet xmlns:r="http://schemas.openxmlformats.org/officeDocument/2006/relationships" name="Дашборд" sheetId="2" state="visible" r:id="rId2"/>
    <sheet xmlns:r="http://schemas.openxmlformats.org/officeDocument/2006/relationships" name="Справочники" sheetId="3" state="visible" r:id="rId3"/>
    <sheet xmlns:r="http://schemas.openxmlformats.org/officeDocument/2006/relationships" name="Инструкция" sheetId="4" state="visible" r:id="rId4"/>
  </sheets>
  <definedNames>
    <definedName name="_xlnm._FilterDatabase" localSheetId="0" hidden="1">'Реестр багов'!$A$1:$Z$301</definedName>
    <definedName name="_xlnm.Print_Titles" localSheetId="0">'Реестр багов'!$1:$1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0.0%"/>
    <numFmt numFmtId="167" formatCode="0.0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FFFFFF"/>
      <sz val="16"/>
    </font>
    <font>
      <name val="Calibri"/>
      <i val="1"/>
      <color rgb="00555555"/>
      <sz val="10"/>
    </font>
    <font>
      <name val="Calibri"/>
      <color rgb="00555555"/>
      <sz val="10"/>
    </font>
    <font>
      <name val="Calibri"/>
      <b val="1"/>
      <sz val="10"/>
    </font>
    <font>
      <name val="Calibri"/>
      <b val="1"/>
      <color rgb="00FFFFFF"/>
      <sz val="12"/>
    </font>
    <font>
      <b val="1"/>
      <color rgb="001B5E20"/>
      <sz val="12"/>
    </font>
    <font>
      <color rgb="00333333"/>
      <sz val="10"/>
    </font>
    <font>
      <sz val="10"/>
    </font>
    <font>
      <name val="Calibri"/>
      <b val="1"/>
      <color rgb="001B5E20"/>
      <sz val="12"/>
    </font>
    <font>
      <color rgb="00444444"/>
      <sz val="10"/>
    </font>
  </fonts>
  <fills count="6">
    <fill>
      <patternFill/>
    </fill>
    <fill>
      <patternFill patternType="gray125"/>
    </fill>
    <fill>
      <patternFill patternType="solid">
        <fgColor rgb="002E7D32"/>
      </patternFill>
    </fill>
    <fill>
      <patternFill patternType="solid">
        <fgColor rgb="00F4F9F4"/>
      </patternFill>
    </fill>
    <fill>
      <patternFill patternType="solid">
        <fgColor rgb="001B5E20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165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horizontal="center" vertical="center" wrapText="1"/>
    </xf>
    <xf numFmtId="1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 wrapText="1"/>
    </xf>
    <xf numFmtId="1" fontId="0" fillId="0" borderId="1" applyAlignment="1" pivotButton="0" quotePrefix="0" xfId="0">
      <alignment horizontal="center" vertical="center" wrapText="1"/>
    </xf>
    <xf numFmtId="0" fontId="2" fillId="4" borderId="0" applyAlignment="1" pivotButton="0" quotePrefix="0" xfId="0">
      <alignment horizontal="left" vertical="center" indent="1"/>
    </xf>
    <xf numFmtId="0" fontId="3" fillId="0" borderId="0" pivotButton="0" quotePrefix="0" xfId="0"/>
    <xf numFmtId="0" fontId="4" fillId="0" borderId="0" applyAlignment="1" pivotButton="0" quotePrefix="0" xfId="0">
      <alignment horizontal="right"/>
    </xf>
    <xf numFmtId="165" fontId="5" fillId="0" borderId="0" pivotButton="0" quotePrefix="0" xfId="0"/>
    <xf numFmtId="0" fontId="6" fillId="2" borderId="0" applyAlignment="1" pivotButton="0" quotePrefix="0" xfId="0">
      <alignment horizontal="left" vertical="center" indent="1"/>
    </xf>
    <xf numFmtId="0" fontId="5" fillId="5" borderId="1" applyAlignment="1" pivotButton="0" quotePrefix="0" xfId="0">
      <alignment vertical="center" wrapText="1" indent="1"/>
    </xf>
    <xf numFmtId="1" fontId="7" fillId="5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1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0" fontId="8" fillId="5" borderId="1" applyAlignment="1" pivotButton="0" quotePrefix="0" xfId="0">
      <alignment vertical="center" wrapText="1" indent="1"/>
    </xf>
    <xf numFmtId="166" fontId="7" fillId="5" borderId="1" applyAlignment="1" pivotButton="0" quotePrefix="0" xfId="0">
      <alignment horizontal="center" vertical="center"/>
    </xf>
    <xf numFmtId="167" fontId="7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0" fillId="0" borderId="0" pivotButton="0" quotePrefix="0" xfId="0"/>
    <xf numFmtId="0" fontId="11" fillId="0" borderId="0" pivotButton="0" quotePrefix="0" xfId="0"/>
    <xf numFmtId="0" fontId="9" fillId="0" borderId="1" applyAlignment="1" pivotButton="0" quotePrefix="0" xfId="0">
      <alignment vertical="center" indent="1"/>
    </xf>
    <xf numFmtId="0" fontId="9" fillId="0" borderId="0" applyAlignment="1" pivotButton="0" quotePrefix="0" xfId="0">
      <alignment vertical="top" wrapText="1"/>
    </xf>
    <xf numFmtId="0" fontId="1" fillId="2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</cellXfs>
  <cellStyles count="1">
    <cellStyle name="Normal" xfId="0" builtinId="0" hidden="0"/>
  </cellStyles>
  <dxfs count="12"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974706"/>
      </font>
      <fill>
        <patternFill patternType="solid">
          <fgColor rgb="00FFD9B3"/>
        </patternFill>
      </fill>
    </dxf>
    <dxf>
      <font>
        <color rgb="007F6000"/>
      </font>
      <fill>
        <patternFill patternType="solid">
          <fgColor rgb="00FFF2CC"/>
        </patternFill>
      </fill>
    </dxf>
    <dxf>
      <font>
        <color rgb="001F4E79"/>
      </font>
      <fill>
        <patternFill patternType="solid">
          <fgColor rgb="00DDEBF7"/>
        </patternFill>
      </fill>
    </dxf>
    <dxf>
      <font>
        <color rgb="00375623"/>
      </font>
      <fill>
        <patternFill patternType="solid">
          <fgColor rgb="00E2EFDA"/>
        </patternFill>
      </fill>
    </dxf>
    <dxf>
      <font>
        <color rgb="00974706"/>
      </font>
      <fill>
        <patternFill patternType="solid">
          <fgColor rgb="00FFD9B3"/>
        </patternFill>
      </fill>
    </dxf>
    <dxf>
      <font>
        <b val="1"/>
        <color rgb="007F6000"/>
      </font>
      <fill>
        <patternFill patternType="solid">
          <fgColor rgb="00FFF2CC"/>
        </patternFill>
      </fill>
    </dxf>
    <dxf>
      <font>
        <b val="1"/>
        <color rgb="001F4E79"/>
      </font>
      <fill>
        <patternFill patternType="solid">
          <fgColor rgb="00DDEBF7"/>
        </patternFill>
      </fill>
    </dxf>
    <dxf>
      <font>
        <b val="1"/>
        <color rgb="005B4B8A"/>
      </font>
      <fill>
        <patternFill patternType="solid">
          <fgColor rgb="00E4DFEC"/>
        </patternFill>
      </fill>
    </dxf>
    <dxf>
      <font>
        <b val="1"/>
        <color rgb="00375623"/>
      </font>
      <fill>
        <patternFill patternType="solid">
          <fgColor rgb="00E2EFDA"/>
        </patternFill>
      </fill>
    </dxf>
    <dxf>
      <font>
        <color rgb="00595959"/>
      </font>
      <fill>
        <patternFill patternType="solid">
          <fgColor rgb="00F2F2F2"/>
        </patternFill>
      </fill>
    </dxf>
    <dxf>
      <font>
        <color rgb="00833C0C"/>
      </font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Баги по статусам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'Дашборд'!E4</f>
            </strRef>
          </tx>
          <spPr>
            <a:ln xmlns:a="http://schemas.openxmlformats.org/drawingml/2006/main">
              <a:prstDash val="solid"/>
            </a:ln>
          </spPr>
          <cat>
            <numRef>
              <f>'Дашборд'!$D$5:$D$11</f>
            </numRef>
          </cat>
          <val>
            <numRef>
              <f>'Дашборд'!$E$5:$E$11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Статус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Количество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Распределение по серьёзности</a:t>
            </a:r>
          </a:p>
        </rich>
      </tx>
    </title>
    <plotArea>
      <pieChart>
        <varyColors val="1"/>
        <ser>
          <idx val="0"/>
          <order val="0"/>
          <tx>
            <strRef>
              <f>'Дашборд'!H4</f>
            </strRef>
          </tx>
          <spPr>
            <a:ln xmlns:a="http://schemas.openxmlformats.org/drawingml/2006/main">
              <a:prstDash val="solid"/>
            </a:ln>
          </spPr>
          <cat>
            <numRef>
              <f>'Дашборд'!$G$5:$G$9</f>
            </numRef>
          </cat>
          <val>
            <numRef>
              <f>'Дашборд'!$H$5:$H$9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Баги по компонентам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'Дашборд'!K4</f>
            </strRef>
          </tx>
          <spPr>
            <a:ln xmlns:a="http://schemas.openxmlformats.org/drawingml/2006/main">
              <a:prstDash val="solid"/>
            </a:ln>
          </spPr>
          <cat>
            <numRef>
              <f>'Дашборд'!$J$5:$J$10</f>
            </numRef>
          </cat>
          <val>
            <numRef>
              <f>'Дашборд'!$K$5:$K$10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432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19</row>
      <rowOff>0</rowOff>
    </from>
    <ext cx="432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12</col>
      <colOff>0</colOff>
      <row>36</row>
      <rowOff>0</rowOff>
    </from>
    <ext cx="432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Z3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21" customWidth="1" min="3" max="3"/>
    <col width="20" customWidth="1" min="4" max="4"/>
    <col width="18" customWidth="1" min="5" max="5"/>
    <col width="25" customWidth="1" min="6" max="6"/>
    <col width="42" customWidth="1" min="7" max="7"/>
    <col width="48" customWidth="1" min="8" max="8"/>
    <col width="34" customWidth="1" min="9" max="9"/>
    <col width="34" customWidth="1" min="10" max="10"/>
    <col width="13" customWidth="1" min="11" max="11"/>
    <col width="15" customWidth="1" min="12" max="12"/>
    <col width="26" customWidth="1" min="13" max="13"/>
    <col width="18" customWidth="1" min="14" max="14"/>
    <col width="18" customWidth="1" min="15" max="15"/>
    <col width="15" customWidth="1" min="16" max="16"/>
    <col width="15" customWidth="1" min="17" max="17"/>
    <col width="12" customWidth="1" min="18" max="18"/>
    <col width="25" customWidth="1" min="19" max="19"/>
    <col width="32" customWidth="1" min="20" max="20"/>
    <col width="42" customWidth="1" min="21" max="21"/>
    <col width="16" customWidth="1" min="22" max="22"/>
    <col width="14" customWidth="1" min="23" max="23"/>
    <col width="17" customWidth="1" min="24" max="24"/>
    <col width="12" customWidth="1" min="25" max="25"/>
    <col width="34" customWidth="1" min="26" max="26"/>
  </cols>
  <sheetData>
    <row r="1" ht="44" customHeight="1">
      <c r="A1" s="1" t="inlineStr">
        <is>
          <t>ID бага</t>
        </is>
      </c>
      <c r="B1" s="1" t="inlineStr">
        <is>
          <t>Дата обнаружения</t>
        </is>
      </c>
      <c r="C1" s="1" t="inlineStr">
        <is>
          <t>Обнаружил (тестировщик)</t>
        </is>
      </c>
      <c r="D1" s="1" t="inlineStr">
        <is>
          <t>Тип бага</t>
        </is>
      </c>
      <c r="E1" s="1" t="inlineStr">
        <is>
          <t>Компонент</t>
        </is>
      </c>
      <c r="F1" s="1" t="inlineStr">
        <is>
          <t>Экран / URL / API-метод</t>
        </is>
      </c>
      <c r="G1" s="1" t="inlineStr">
        <is>
          <t>Краткое описание (заголовок)</t>
        </is>
      </c>
      <c r="H1" s="1" t="inlineStr">
        <is>
          <t>Шаги воспроизведения</t>
        </is>
      </c>
      <c r="I1" s="1" t="inlineStr">
        <is>
          <t>Ожидаемый результат</t>
        </is>
      </c>
      <c r="J1" s="1" t="inlineStr">
        <is>
          <t>Фактический результат</t>
        </is>
      </c>
      <c r="K1" s="1" t="inlineStr">
        <is>
          <t>Серьёзность</t>
        </is>
      </c>
      <c r="L1" s="1" t="inlineStr">
        <is>
          <t>Приоритет</t>
        </is>
      </c>
      <c r="M1" s="1" t="inlineStr">
        <is>
          <t>Окружение (ОС / браузер / версия)</t>
        </is>
      </c>
      <c r="N1" s="1" t="inlineStr">
        <is>
          <t>Статус</t>
        </is>
      </c>
      <c r="O1" s="1" t="inlineStr">
        <is>
          <t>Исполнитель</t>
        </is>
      </c>
      <c r="P1" s="1" t="inlineStr">
        <is>
          <t>Плановый срок фикса</t>
        </is>
      </c>
      <c r="Q1" s="1" t="inlineStr">
        <is>
          <t>Дата фикса (факт)</t>
        </is>
      </c>
      <c r="R1" s="1" t="inlineStr">
        <is>
          <t>Время до фикса, дн.</t>
        </is>
      </c>
      <c r="S1" s="1" t="inlineStr">
        <is>
          <t>Коммит / ветка / PR</t>
        </is>
      </c>
      <c r="T1" s="1" t="inlineStr">
        <is>
          <t>Затронутые файлы</t>
        </is>
      </c>
      <c r="U1" s="1" t="inlineStr">
        <is>
          <t>Что исправлено (описание решения)</t>
        </is>
      </c>
      <c r="V1" s="1" t="inlineStr">
        <is>
          <t>Проверил (QA)</t>
        </is>
      </c>
      <c r="W1" s="1" t="inlineStr">
        <is>
          <t>Дата проверки</t>
        </is>
      </c>
      <c r="X1" s="1" t="inlineStr">
        <is>
          <t>Результат регрессии</t>
        </is>
      </c>
      <c r="Y1" s="1" t="inlineStr">
        <is>
          <t>Просрочено</t>
        </is>
      </c>
      <c r="Z1" s="1" t="inlineStr">
        <is>
          <t>Комментарии</t>
        </is>
      </c>
    </row>
    <row r="2">
      <c r="A2" s="2">
        <f>IF($G2="","","BUG-"&amp;TEXT(ROW()-1,"000"))</f>
        <v/>
      </c>
      <c r="B2" s="3" t="n">
        <v>46277</v>
      </c>
      <c r="C2" s="2" t="inlineStr">
        <is>
          <t>Смирнова Е. (QA)</t>
        </is>
      </c>
      <c r="D2" s="2" t="inlineStr">
        <is>
          <t>Функциональный</t>
        </is>
      </c>
      <c r="E2" s="2" t="inlineStr">
        <is>
          <t>Frontend</t>
        </is>
      </c>
      <c r="F2" s="2" t="inlineStr">
        <is>
          <t>/catalog — фильтр по цене</t>
        </is>
      </c>
      <c r="G2" s="2" t="inlineStr">
        <is>
          <t>Фильтр «Цена» не сбрасывается после перезагрузки страницы</t>
        </is>
      </c>
      <c r="H2" s="2" t="inlineStr">
        <is>
          <t>1. Открыть /catalog.
2. Задать диапазон цены 1000–3000 ₽.
3. Перезагрузить страницу (F5).</t>
        </is>
      </c>
      <c r="I2" s="2" t="inlineStr">
        <is>
          <t>Фильтр сброшен, показаны все товары.</t>
        </is>
      </c>
      <c r="J2" s="2" t="inlineStr">
        <is>
          <t>Диапазон цены сохраняется, но счётчик товаров показывает полный список.</t>
        </is>
      </c>
      <c r="K2" s="4" t="inlineStr">
        <is>
          <t>Major</t>
        </is>
      </c>
      <c r="L2" s="4" t="inlineStr">
        <is>
          <t>P2 - Высокий</t>
        </is>
      </c>
      <c r="M2" s="2" t="inlineStr">
        <is>
          <t>Chrome 129 / Windows 11</t>
        </is>
      </c>
      <c r="N2" s="4" t="inlineStr">
        <is>
          <t>Исправлен</t>
        </is>
      </c>
      <c r="O2" s="2" t="inlineStr">
        <is>
          <t>Иванов И.</t>
        </is>
      </c>
      <c r="P2" s="3" t="n">
        <v>46285</v>
      </c>
      <c r="Q2" s="3" t="n">
        <v>46281</v>
      </c>
      <c r="R2" s="5">
        <f>IF(AND($B2&lt;&gt;"",$Q2&lt;&gt;""),$Q2-$B2,"")</f>
        <v/>
      </c>
      <c r="S2" s="2" t="inlineStr">
        <is>
          <t>hotfix/catalog-filter</t>
        </is>
      </c>
      <c r="T2" s="2" t="inlineStr">
        <is>
          <t>Frontend/src/components/Catalog/PriceFilter.jsx</t>
        </is>
      </c>
      <c r="U2" s="2" t="inlineStr">
        <is>
          <t>Состояние фильтра перенесено в query-параметры URL; кнопка «Очистить» сбрасывает фильтр и счётчик.</t>
        </is>
      </c>
      <c r="V2" s="4" t="inlineStr">
        <is>
          <t>Смирнова Е. (QA)</t>
        </is>
      </c>
      <c r="W2" s="3" t="n">
        <v>46282</v>
      </c>
      <c r="X2" s="4" t="inlineStr">
        <is>
          <t>Пройдено</t>
        </is>
      </c>
      <c r="Y2" s="4">
        <f>IF(AND($P2&lt;&gt;"",$Q2="",$P2&lt;TODAY(),OR($N2="Новый",$N2="В работе",$N2="На проверке (QA)",$N2="Отложен")),"ДА","")</f>
        <v/>
      </c>
      <c r="Z2" s="2" t="inlineStr">
        <is>
          <t>Регресс по каталогу пройден в Chrome и Firefox.</t>
        </is>
      </c>
    </row>
    <row r="3">
      <c r="A3" s="6">
        <f>IF($G3="","","BUG-"&amp;TEXT(ROW()-1,"000"))</f>
        <v/>
      </c>
      <c r="B3" s="7" t="n">
        <v>46290</v>
      </c>
      <c r="C3" s="6" t="inlineStr">
        <is>
          <t>Петров П. (QA)</t>
        </is>
      </c>
      <c r="D3" s="6" t="inlineStr">
        <is>
          <t>Логика/расчёт</t>
        </is>
      </c>
      <c r="E3" s="6" t="inlineStr">
        <is>
          <t>Backend/API</t>
        </is>
      </c>
      <c r="F3" s="6" t="inlineStr">
        <is>
          <t>POST /api/orders</t>
        </is>
      </c>
      <c r="G3" s="6" t="inlineStr">
        <is>
          <t>Заказ товара с нулевым остатком возвращает 500 вместо 409</t>
        </is>
      </c>
      <c r="H3" s="6" t="inlineStr">
        <is>
          <t>1. Оформить заказ на товар с остатком 0.
2. Отправить POST /api/orders.</t>
        </is>
      </c>
      <c r="I3" s="6" t="inlineStr">
        <is>
          <t>HTTP 409 и понятное сообщение «Товар закончился».</t>
        </is>
      </c>
      <c r="J3" s="6" t="inlineStr">
        <is>
          <t>HTTP 500, в логах ошибка чтения NULL из stock.</t>
        </is>
      </c>
      <c r="K3" s="8" t="inlineStr">
        <is>
          <t>Blocker</t>
        </is>
      </c>
      <c r="L3" s="8" t="inlineStr">
        <is>
          <t>P1 - Критический</t>
        </is>
      </c>
      <c r="M3" s="6" t="inlineStr">
        <is>
          <t>Staging / PostgreSQL 16</t>
        </is>
      </c>
      <c r="N3" s="8" t="inlineStr">
        <is>
          <t>В работе</t>
        </is>
      </c>
      <c r="O3" s="6" t="inlineStr">
        <is>
          <t>Иванов И.</t>
        </is>
      </c>
      <c r="P3" s="7" t="n">
        <v>46293</v>
      </c>
      <c r="Q3" s="7" t="n"/>
      <c r="R3" s="9">
        <f>IF(AND($B3&lt;&gt;"",$Q3&lt;&gt;""),$Q3-$B3,"")</f>
        <v/>
      </c>
      <c r="S3" s="6" t="inlineStr">
        <is>
          <t>bugfix/orders-stock-check</t>
        </is>
      </c>
      <c r="T3" s="6" t="inlineStr">
        <is>
          <t>Backend/controllers/orderController.js</t>
        </is>
      </c>
      <c r="U3" s="6" t="inlineStr"/>
      <c r="V3" s="8" t="inlineStr"/>
      <c r="W3" s="7" t="n"/>
      <c r="X3" s="8" t="inlineStr">
        <is>
          <t>Не проверялось</t>
        </is>
      </c>
      <c r="Y3" s="8">
        <f>IF(AND($P3&lt;&gt;"",$Q3="",$P3&lt;TODAY(),OR($N3="Новый",$N3="В работе",$N3="На проверке (QA)",$N3="Отложен")),"ДА","")</f>
        <v/>
      </c>
      <c r="Z3" s="6" t="inlineStr">
        <is>
          <t>Ожидает деплоя на staging для проверки QA.</t>
        </is>
      </c>
    </row>
    <row r="4">
      <c r="A4" s="2">
        <f>IF($G4="","","BUG-"&amp;TEXT(ROW()-1,"000"))</f>
        <v/>
      </c>
      <c r="B4" s="3" t="n">
        <v>46294</v>
      </c>
      <c r="C4" s="2" t="inlineStr">
        <is>
          <t>Смирнова Е. (QA)</t>
        </is>
      </c>
      <c r="D4" s="2" t="inlineStr">
        <is>
          <t>Визуальный/UI</t>
        </is>
      </c>
      <c r="E4" s="2" t="inlineStr">
        <is>
          <t>Frontend</t>
        </is>
      </c>
      <c r="F4" s="2" t="inlineStr">
        <is>
          <t>/ — главная страница</t>
        </is>
      </c>
      <c r="G4" s="2" t="inlineStr">
        <is>
          <t>Кнопка «В корзину» перекрывает название товара при ширине 360 px</t>
        </is>
      </c>
      <c r="H4" s="2" t="inlineStr">
        <is>
          <t>1. Открыть главную.
2. Включить режим 360x800 (DevTools).</t>
        </is>
      </c>
      <c r="I4" s="2" t="inlineStr">
        <is>
          <t>Кнопка и название читаются полностью.</t>
        </is>
      </c>
      <c r="J4" s="2" t="inlineStr">
        <is>
          <t>Название товара скрыто под кнопкой.</t>
        </is>
      </c>
      <c r="K4" s="4" t="inlineStr">
        <is>
          <t>Minor</t>
        </is>
      </c>
      <c r="L4" s="4" t="inlineStr">
        <is>
          <t>P3 - Средний</t>
        </is>
      </c>
      <c r="M4" s="2" t="inlineStr">
        <is>
          <t>Chrome DevTools 360x800 / Android 14</t>
        </is>
      </c>
      <c r="N4" s="4" t="inlineStr">
        <is>
          <t>Новый</t>
        </is>
      </c>
      <c r="O4" s="2" t="inlineStr">
        <is>
          <t>Не назначен</t>
        </is>
      </c>
      <c r="P4" s="3" t="n">
        <v>46305</v>
      </c>
      <c r="Q4" s="3" t="n"/>
      <c r="R4" s="5">
        <f>IF(AND($B4&lt;&gt;"",$Q4&lt;&gt;""),$Q4-$B4,"")</f>
        <v/>
      </c>
      <c r="S4" s="2" t="inlineStr"/>
      <c r="T4" s="2" t="inlineStr"/>
      <c r="U4" s="2" t="inlineStr"/>
      <c r="V4" s="4" t="inlineStr"/>
      <c r="W4" s="3" t="n"/>
      <c r="X4" s="4" t="inlineStr">
        <is>
          <t>Не проверялось</t>
        </is>
      </c>
      <c r="Y4" s="4">
        <f>IF(AND($P4&lt;&gt;"",$Q4="",$P4&lt;TODAY(),OR($N4="Новый",$N4="В работе",$N4="На проверке (QA)",$N4="Отложен")),"ДА","")</f>
        <v/>
      </c>
      <c r="Z4" s="2" t="inlineStr">
        <is>
          <t>Нужен макет от дизайнера.</t>
        </is>
      </c>
    </row>
    <row r="5">
      <c r="A5" s="6">
        <f>IF($G5="","","BUG-"&amp;TEXT(ROW()-1,"000"))</f>
        <v/>
      </c>
      <c r="B5" s="7" t="n">
        <v>46296</v>
      </c>
      <c r="C5" s="6" t="inlineStr">
        <is>
          <t>Кузнецов Д. (QA)</t>
        </is>
      </c>
      <c r="D5" s="6" t="inlineStr">
        <is>
          <t>Производительность</t>
        </is>
      </c>
      <c r="E5" s="6" t="inlineStr">
        <is>
          <t>Frontend</t>
        </is>
      </c>
      <c r="F5" s="6" t="inlineStr">
        <is>
          <t>/catalog (500+ карточек)</t>
        </is>
      </c>
      <c r="G5" s="6" t="inlineStr">
        <is>
          <t>Каталог загружается 8,4 с на мобильном интернете (4G)</t>
        </is>
      </c>
      <c r="H5" s="6" t="inlineStr">
        <is>
          <t>1. Открыть /catalog на Android, 4G.
2. Замерить время до First Contentful Paint.</t>
        </is>
      </c>
      <c r="I5" s="6" t="inlineStr">
        <is>
          <t>Каталог отображается не дольше 2,5 с.</t>
        </is>
      </c>
      <c r="J5" s="6" t="inlineStr">
        <is>
          <t>8,4 с, грузятся все изображения сразу.</t>
        </is>
      </c>
      <c r="K5" s="8" t="inlineStr">
        <is>
          <t>Major</t>
        </is>
      </c>
      <c r="L5" s="8" t="inlineStr">
        <is>
          <t>P2 - Высокий</t>
        </is>
      </c>
      <c r="M5" s="6" t="inlineStr">
        <is>
          <t>Chrome 129 / Android 14 / 4G</t>
        </is>
      </c>
      <c r="N5" s="8" t="inlineStr">
        <is>
          <t>На проверке (QA)</t>
        </is>
      </c>
      <c r="O5" s="6" t="inlineStr">
        <is>
          <t>Сидорова А.</t>
        </is>
      </c>
      <c r="P5" s="7" t="n">
        <v>46303</v>
      </c>
      <c r="Q5" s="7" t="n">
        <v>46301</v>
      </c>
      <c r="R5" s="9">
        <f>IF(AND($B5&lt;&gt;"",$Q5&lt;&gt;""),$Q5-$B5,"")</f>
        <v/>
      </c>
      <c r="S5" s="6" t="inlineStr">
        <is>
          <t>perf/catalog-lazy-load</t>
        </is>
      </c>
      <c r="T5" s="6" t="inlineStr">
        <is>
          <t>Frontend/src/pages/Catalog.jsx</t>
        </is>
      </c>
      <c r="U5" s="6" t="inlineStr">
        <is>
          <t>Добавлена ленивая загрузка изображений и виртуализация списка карточек.</t>
        </is>
      </c>
      <c r="V5" s="8" t="inlineStr">
        <is>
          <t>Кузнецов Д. (QA)</t>
        </is>
      </c>
      <c r="W5" s="7" t="n">
        <v>46302</v>
      </c>
      <c r="X5" s="8" t="inlineStr">
        <is>
          <t>Не проверялось</t>
        </is>
      </c>
      <c r="Y5" s="8">
        <f>IF(AND($P5&lt;&gt;"",$Q5="",$P5&lt;TODAY(),OR($N5="Новый",$N5="В работе",$N5="На проверке (QA)",$N5="Отложен")),"ДА","")</f>
        <v/>
      </c>
      <c r="Z5" s="6" t="inlineStr">
        <is>
          <t>Замеры на staging: 2,1 с.</t>
        </is>
      </c>
    </row>
    <row r="6">
      <c r="A6" s="2">
        <f>IF($G6="","","BUG-"&amp;TEXT(ROW()-1,"000"))</f>
        <v/>
      </c>
      <c r="B6" s="3" t="n">
        <v>46297</v>
      </c>
      <c r="C6" s="2" t="inlineStr">
        <is>
          <t>Петров П. (QA)</t>
        </is>
      </c>
      <c r="D6" s="2" t="inlineStr">
        <is>
          <t>Текст/контент</t>
        </is>
      </c>
      <c r="E6" s="2" t="inlineStr">
        <is>
          <t>Frontend</t>
        </is>
      </c>
      <c r="F6" s="2" t="inlineStr">
        <is>
          <t>/about — блок «О нас»</t>
        </is>
      </c>
      <c r="G6" s="2" t="inlineStr">
        <is>
          <t>Опечатка в названии компании: «ВебПлантт» вместо «WebPlant»</t>
        </is>
      </c>
      <c r="H6" s="2" t="inlineStr">
        <is>
          <t>1. Открыть /about.
2. Прочитать заголовок блока.</t>
        </is>
      </c>
      <c r="I6" s="2" t="inlineStr">
        <is>
          <t>Название «WebPlant».</t>
        </is>
      </c>
      <c r="J6" s="2" t="inlineStr">
        <is>
          <t>Напечатано «ВебПлантт».</t>
        </is>
      </c>
      <c r="K6" s="4" t="inlineStr">
        <is>
          <t>Trivial</t>
        </is>
      </c>
      <c r="L6" s="4" t="inlineStr">
        <is>
          <t>P4 - Низкий</t>
        </is>
      </c>
      <c r="M6" s="2" t="inlineStr">
        <is>
          <t>Все браузеры</t>
        </is>
      </c>
      <c r="N6" s="4" t="inlineStr">
        <is>
          <t>Исправлен</t>
        </is>
      </c>
      <c r="O6" s="2" t="inlineStr">
        <is>
          <t>Сидорова А.</t>
        </is>
      </c>
      <c r="P6" s="3" t="n">
        <v>46300</v>
      </c>
      <c r="Q6" s="3" t="n">
        <v>46298</v>
      </c>
      <c r="R6" s="5">
        <f>IF(AND($B6&lt;&gt;"",$Q6&lt;&gt;""),$Q6-$B6,"")</f>
        <v/>
      </c>
      <c r="S6" s="2" t="inlineStr">
        <is>
          <t>fix/about-typo</t>
        </is>
      </c>
      <c r="T6" s="2" t="inlineStr">
        <is>
          <t>Frontend/src/pages/About.jsx</t>
        </is>
      </c>
      <c r="U6" s="2" t="inlineStr">
        <is>
          <t>Исправлено написание названия компании.</t>
        </is>
      </c>
      <c r="V6" s="4" t="inlineStr">
        <is>
          <t>Петров П. (QA)</t>
        </is>
      </c>
      <c r="W6" s="3" t="n">
        <v>46299</v>
      </c>
      <c r="X6" s="4" t="inlineStr">
        <is>
          <t>Пройдено</t>
        </is>
      </c>
      <c r="Y6" s="4">
        <f>IF(AND($P6&lt;&gt;"",$Q6="",$P6&lt;TODAY(),OR($N6="Новый",$N6="В работе",$N6="На проверке (QA)",$N6="Отложен")),"ДА","")</f>
        <v/>
      </c>
      <c r="Z6" s="2" t="inlineStr"/>
    </row>
    <row r="7">
      <c r="A7" s="6">
        <f>IF($G7="","","BUG-"&amp;TEXT(ROW()-1,"000"))</f>
        <v/>
      </c>
      <c r="B7" s="7" t="n">
        <v>46285</v>
      </c>
      <c r="C7" s="6" t="inlineStr">
        <is>
          <t>Кузнецов Д. (QA)</t>
        </is>
      </c>
      <c r="D7" s="6" t="inlineStr">
        <is>
          <t>Безопасность</t>
        </is>
      </c>
      <c r="E7" s="6" t="inlineStr">
        <is>
          <t>Backend/API</t>
        </is>
      </c>
      <c r="F7" s="6" t="inlineStr">
        <is>
          <t>POST /api/auth/login</t>
        </is>
      </c>
      <c r="G7" s="6" t="inlineStr">
        <is>
          <t>Нет ограничения количества попыток входа (brute-force)</t>
        </is>
      </c>
      <c r="H7" s="6" t="inlineStr">
        <is>
          <t>1. Отправить 200 запросов POST /api/auth/login с неверным паролем.</t>
        </is>
      </c>
      <c r="I7" s="6" t="inlineStr">
        <is>
          <t>Блокировка после 5 неудачных попыток.</t>
        </is>
      </c>
      <c r="J7" s="6" t="inlineStr">
        <is>
          <t>Все 200 запросов обрабатываются, блокировки нет.</t>
        </is>
      </c>
      <c r="K7" s="8" t="inlineStr">
        <is>
          <t>Critical</t>
        </is>
      </c>
      <c r="L7" s="8" t="inlineStr">
        <is>
          <t>P1 - Критический</t>
        </is>
      </c>
      <c r="M7" s="6" t="inlineStr">
        <is>
          <t>Prod</t>
        </is>
      </c>
      <c r="N7" s="8" t="inlineStr">
        <is>
          <t>В работе</t>
        </is>
      </c>
      <c r="O7" s="6" t="inlineStr">
        <is>
          <t>Петров П.</t>
        </is>
      </c>
      <c r="P7" s="7" t="n">
        <v>46296</v>
      </c>
      <c r="Q7" s="7" t="n"/>
      <c r="R7" s="9">
        <f>IF(AND($B7&lt;&gt;"",$Q7&lt;&gt;""),$Q7-$B7,"")</f>
        <v/>
      </c>
      <c r="S7" s="6" t="inlineStr">
        <is>
          <t>security/login-rate-limit</t>
        </is>
      </c>
      <c r="T7" s="6" t="inlineStr">
        <is>
          <t>Backend/middleware/rateLimit.js</t>
        </is>
      </c>
      <c r="U7" s="6" t="inlineStr"/>
      <c r="V7" s="8" t="inlineStr"/>
      <c r="W7" s="7" t="n"/>
      <c r="X7" s="8" t="inlineStr">
        <is>
          <t>Не проверялось</t>
        </is>
      </c>
      <c r="Y7" s="8">
        <f>IF(AND($P7&lt;&gt;"",$Q7="",$P7&lt;TODAY(),OR($N7="Новый",$N7="В работе",$N7="На проверке (QA)",$N7="Отложен")),"ДА","")</f>
        <v/>
      </c>
      <c r="Z7" s="6" t="inlineStr">
        <is>
          <t>ПРОСРОЧЕНО: ожидается согласование лимитов.</t>
        </is>
      </c>
    </row>
    <row r="8">
      <c r="A8" s="2">
        <f>IF($G8="","","BUG-"&amp;TEXT(ROW()-1,"000"))</f>
        <v/>
      </c>
      <c r="B8" s="3" t="n">
        <v>46298</v>
      </c>
      <c r="C8" s="2" t="inlineStr">
        <is>
          <t>Смирнова Е. (QA)</t>
        </is>
      </c>
      <c r="D8" s="2" t="inlineStr">
        <is>
          <t>Логика/расчёт</t>
        </is>
      </c>
      <c r="E8" s="2" t="inlineStr">
        <is>
          <t>Backend/API</t>
        </is>
      </c>
      <c r="F8" s="2" t="inlineStr">
        <is>
          <t>POST /api/cart/discount</t>
        </is>
      </c>
      <c r="G8" s="2" t="inlineStr">
        <is>
          <t>Скидка 10 % применяется к стоимости доставки</t>
        </is>
      </c>
      <c r="H8" s="2" t="inlineStr">
        <is>
          <t>1. Собрать корзину на 5000 ₽.
2. Применить промокод SALE10.
3. Проверить итог.</t>
        </is>
      </c>
      <c r="I8" s="2" t="inlineStr">
        <is>
          <t>Скидка применяется только к товарам.</t>
        </is>
      </c>
      <c r="J8" s="2" t="inlineStr">
        <is>
          <t>Скидка уменьшает и доставку.</t>
        </is>
      </c>
      <c r="K8" s="4" t="inlineStr">
        <is>
          <t>Major</t>
        </is>
      </c>
      <c r="L8" s="4" t="inlineStr">
        <is>
          <t>P2 - Высокий</t>
        </is>
      </c>
      <c r="M8" s="2" t="inlineStr">
        <is>
          <t>Staging</t>
        </is>
      </c>
      <c r="N8" s="4" t="inlineStr">
        <is>
          <t>Новый</t>
        </is>
      </c>
      <c r="O8" s="2" t="inlineStr">
        <is>
          <t>Не назначен</t>
        </is>
      </c>
      <c r="P8" s="3" t="n">
        <v>46304</v>
      </c>
      <c r="Q8" s="3" t="n"/>
      <c r="R8" s="5">
        <f>IF(AND($B8&lt;&gt;"",$Q8&lt;&gt;""),$Q8-$B8,"")</f>
        <v/>
      </c>
      <c r="S8" s="2" t="inlineStr"/>
      <c r="T8" s="2" t="inlineStr"/>
      <c r="U8" s="2" t="inlineStr"/>
      <c r="V8" s="4" t="inlineStr"/>
      <c r="W8" s="3" t="n"/>
      <c r="X8" s="4" t="inlineStr">
        <is>
          <t>Не проверялось</t>
        </is>
      </c>
      <c r="Y8" s="4">
        <f>IF(AND($P8&lt;&gt;"",$Q8="",$P8&lt;TODAY(),OR($N8="Новый",$N8="В работе",$N8="На проверке (QA)",$N8="Отложен")),"ДА","")</f>
        <v/>
      </c>
      <c r="Z8" s="2" t="inlineStr">
        <is>
          <t>Ошибка в порядке расчёта итоговой суммы.</t>
        </is>
      </c>
    </row>
    <row r="9">
      <c r="A9" s="6">
        <f>IF($G9="","","BUG-"&amp;TEXT(ROW()-1,"000"))</f>
        <v/>
      </c>
      <c r="B9" s="7" t="n">
        <v>46280</v>
      </c>
      <c r="C9" s="6" t="inlineStr">
        <is>
          <t>Кузнецов Д. (QA)</t>
        </is>
      </c>
      <c r="D9" s="6" t="inlineStr">
        <is>
          <t>Совместимость</t>
        </is>
      </c>
      <c r="E9" s="6" t="inlineStr">
        <is>
          <t>Frontend</t>
        </is>
      </c>
      <c r="F9" s="6" t="inlineStr">
        <is>
          <t>/constructor — конструктор букета</t>
        </is>
      </c>
      <c r="G9" s="6" t="inlineStr">
        <is>
          <t>Не работает drag &amp; drop в Safari 17</t>
        </is>
      </c>
      <c r="H9" s="6" t="inlineStr">
        <is>
          <t>1. Открыть /constructor в Safari 17.
2. Перетащить цветок в букет.</t>
        </is>
      </c>
      <c r="I9" s="6" t="inlineStr">
        <is>
          <t>Элемент переносится в букет.</t>
        </is>
      </c>
      <c r="J9" s="6" t="inlineStr">
        <is>
          <t>Курсор меняется, элемент не перемещается.</t>
        </is>
      </c>
      <c r="K9" s="8" t="inlineStr">
        <is>
          <t>Minor</t>
        </is>
      </c>
      <c r="L9" s="8" t="inlineStr">
        <is>
          <t>P3 - Средний</t>
        </is>
      </c>
      <c r="M9" s="6" t="inlineStr">
        <is>
          <t>Safari 17 / macOS 14</t>
        </is>
      </c>
      <c r="N9" s="8" t="inlineStr">
        <is>
          <t>Отложен</t>
        </is>
      </c>
      <c r="O9" s="6" t="inlineStr">
        <is>
          <t>Сидорова А.</t>
        </is>
      </c>
      <c r="P9" s="7" t="n"/>
      <c r="Q9" s="7" t="n"/>
      <c r="R9" s="9">
        <f>IF(AND($B9&lt;&gt;"",$Q9&lt;&gt;""),$Q9-$B9,"")</f>
        <v/>
      </c>
      <c r="S9" s="6" t="inlineStr"/>
      <c r="T9" s="6" t="inlineStr"/>
      <c r="U9" s="6" t="inlineStr"/>
      <c r="V9" s="8" t="inlineStr"/>
      <c r="W9" s="7" t="n"/>
      <c r="X9" s="8" t="inlineStr">
        <is>
          <t>Не проверялось</t>
        </is>
      </c>
      <c r="Y9" s="8">
        <f>IF(AND($P9&lt;&gt;"",$Q9="",$P9&lt;TODAY(),OR($N9="Новый",$N9="В работе",$N9="На проверке (QA)",$N9="Отложен")),"ДА","")</f>
        <v/>
      </c>
      <c r="Z9" s="6" t="inlineStr">
        <is>
          <t>Отложен до перехода на Pointer Events API.</t>
        </is>
      </c>
    </row>
    <row r="10">
      <c r="A10" s="2">
        <f>IF($G10="","","BUG-"&amp;TEXT(ROW()-1,"000"))</f>
        <v/>
      </c>
      <c r="B10" s="3" t="n">
        <v>46275</v>
      </c>
      <c r="C10" s="2" t="inlineStr">
        <is>
          <t>Петров П. (QA)</t>
        </is>
      </c>
      <c r="D10" s="2" t="inlineStr">
        <is>
          <t>Инфраструктура</t>
        </is>
      </c>
      <c r="E10" s="2" t="inlineStr">
        <is>
          <t>Инфраструктура/DevOps</t>
        </is>
      </c>
      <c r="F10" s="2" t="inlineStr">
        <is>
          <t>Docker / контейнер backend</t>
        </is>
      </c>
      <c r="G10" s="2" t="inlineStr">
        <is>
          <t>Контейнер backend перезапускается по OOM при импорте каталога</t>
        </is>
      </c>
      <c r="H10" s="2" t="inlineStr">
        <is>
          <t>1. Запустить импорт каталога (12 000 позиций).
2. Наблюдать за контейнером.</t>
        </is>
      </c>
      <c r="I10" s="2" t="inlineStr">
        <is>
          <t>Импорт завершается без перезапуска.</t>
        </is>
      </c>
      <c r="J10" s="2" t="inlineStr">
        <is>
          <t>Контейнер убит по OOM, импорт прерывается.</t>
        </is>
      </c>
      <c r="K10" s="4" t="inlineStr">
        <is>
          <t>Critical</t>
        </is>
      </c>
      <c r="L10" s="4" t="inlineStr">
        <is>
          <t>P1 - Критический</t>
        </is>
      </c>
      <c r="M10" s="2" t="inlineStr">
        <is>
          <t>Prod / Docker 27</t>
        </is>
      </c>
      <c r="N10" s="4" t="inlineStr">
        <is>
          <t>Исправлен</t>
        </is>
      </c>
      <c r="O10" s="2" t="inlineStr">
        <is>
          <t>Иванов И.</t>
        </is>
      </c>
      <c r="P10" s="3" t="n">
        <v>46279</v>
      </c>
      <c r="Q10" s="3" t="n">
        <v>46277</v>
      </c>
      <c r="R10" s="5">
        <f>IF(AND($B10&lt;&gt;"",$Q10&lt;&gt;""),$Q10-$B10,"")</f>
        <v/>
      </c>
      <c r="S10" s="2" t="inlineStr">
        <is>
          <t>infra/memory-limit</t>
        </is>
      </c>
      <c r="T10" s="2" t="inlineStr">
        <is>
          <t>Backend/docker-compose.yml; Backend/jobs/importCatalog.js</t>
        </is>
      </c>
      <c r="U10" s="2" t="inlineStr">
        <is>
          <t>Увеличен лимит памяти контейнера, импорт вынесен в отдельный job с пакетной обработкой.</t>
        </is>
      </c>
      <c r="V10" s="4" t="inlineStr">
        <is>
          <t>Петров П. (QA)</t>
        </is>
      </c>
      <c r="W10" s="3" t="n">
        <v>46278</v>
      </c>
      <c r="X10" s="4" t="inlineStr">
        <is>
          <t>Пройдено</t>
        </is>
      </c>
      <c r="Y10" s="4">
        <f>IF(AND($P10&lt;&gt;"",$Q10="",$P10&lt;TODAY(),OR($N10="Новый",$N10="В работе",$N10="На проверке (QA)",$N10="Отложен")),"ДА","")</f>
        <v/>
      </c>
      <c r="Z10" s="2" t="inlineStr">
        <is>
          <t>Повторный импорт 12 000 позиций прошёл успешно.</t>
        </is>
      </c>
    </row>
    <row r="11">
      <c r="A11" s="6">
        <f>IF($G11="","","BUG-"&amp;TEXT(ROW()-1,"000"))</f>
        <v/>
      </c>
      <c r="B11" s="7" t="n">
        <v>46291</v>
      </c>
      <c r="C11" s="6" t="inlineStr">
        <is>
          <t>Смирнова Е. (QA)</t>
        </is>
      </c>
      <c r="D11" s="6" t="inlineStr">
        <is>
          <t>Функциональный</t>
        </is>
      </c>
      <c r="E11" s="6" t="inlineStr">
        <is>
          <t>Backend/API</t>
        </is>
      </c>
      <c r="F11" s="6" t="inlineStr">
        <is>
          <t>POST /api/auth/login</t>
        </is>
      </c>
      <c r="G11" s="6" t="inlineStr">
        <is>
          <t>Повторная регистрация дефекта об отсутствии ограничения попыток входа</t>
        </is>
      </c>
      <c r="H11" s="6" t="inlineStr">
        <is>
          <t>1. См. BUG-006.</t>
        </is>
      </c>
      <c r="I11" s="6" t="inlineStr">
        <is>
          <t>—</t>
        </is>
      </c>
      <c r="J11" s="6" t="inlineStr">
        <is>
          <t>—</t>
        </is>
      </c>
      <c r="K11" s="8" t="inlineStr">
        <is>
          <t>Critical</t>
        </is>
      </c>
      <c r="L11" s="8" t="inlineStr">
        <is>
          <t>P1 - Критический</t>
        </is>
      </c>
      <c r="M11" s="6" t="inlineStr">
        <is>
          <t>Prod</t>
        </is>
      </c>
      <c r="N11" s="8" t="inlineStr">
        <is>
          <t>Дубликат</t>
        </is>
      </c>
      <c r="O11" s="6" t="inlineStr">
        <is>
          <t>Не назначен</t>
        </is>
      </c>
      <c r="P11" s="7" t="n"/>
      <c r="Q11" s="7" t="n"/>
      <c r="R11" s="9">
        <f>IF(AND($B11&lt;&gt;"",$Q11&lt;&gt;""),$Q11-$B11,"")</f>
        <v/>
      </c>
      <c r="S11" s="6" t="inlineStr"/>
      <c r="T11" s="6" t="inlineStr"/>
      <c r="U11" s="6" t="inlineStr"/>
      <c r="V11" s="8" t="inlineStr"/>
      <c r="W11" s="7" t="n"/>
      <c r="X11" s="8" t="inlineStr">
        <is>
          <t>Не проверялось</t>
        </is>
      </c>
      <c r="Y11" s="8">
        <f>IF(AND($P11&lt;&gt;"",$Q11="",$P11&lt;TODAY(),OR($N11="Новый",$N11="В работе",$N11="На проверке (QA)",$N11="Отложен")),"ДА","")</f>
        <v/>
      </c>
      <c r="Z11" s="6" t="inlineStr">
        <is>
          <t>Дубликат BUG-006, закрыт.</t>
        </is>
      </c>
    </row>
    <row r="12">
      <c r="A12" s="2">
        <f>IF($G12="","","BUG-"&amp;TEXT(ROW()-1,"000"))</f>
        <v/>
      </c>
      <c r="B12" s="3" t="n"/>
      <c r="C12" s="2" t="n"/>
      <c r="D12" s="2" t="n"/>
      <c r="E12" s="2" t="n"/>
      <c r="F12" s="2" t="n"/>
      <c r="G12" s="2" t="n"/>
      <c r="H12" s="2" t="n"/>
      <c r="I12" s="2" t="n"/>
      <c r="J12" s="2" t="n"/>
      <c r="K12" s="4" t="n"/>
      <c r="L12" s="4" t="n"/>
      <c r="M12" s="2" t="n"/>
      <c r="N12" s="4" t="n"/>
      <c r="O12" s="2" t="n"/>
      <c r="P12" s="3" t="n"/>
      <c r="Q12" s="3" t="n"/>
      <c r="R12" s="5">
        <f>IF(AND($B12&lt;&gt;"",$Q12&lt;&gt;""),$Q12-$B12,"")</f>
        <v/>
      </c>
      <c r="S12" s="2" t="n"/>
      <c r="T12" s="2" t="n"/>
      <c r="U12" s="2" t="n"/>
      <c r="V12" s="4" t="n"/>
      <c r="W12" s="3" t="n"/>
      <c r="X12" s="4" t="n"/>
      <c r="Y12" s="4">
        <f>IF(AND($P12&lt;&gt;"",$Q12="",$P12&lt;TODAY(),OR($N12="Новый",$N12="В работе",$N12="На проверке (QA)",$N12="Отложен")),"ДА","")</f>
        <v/>
      </c>
      <c r="Z12" s="2" t="n"/>
    </row>
    <row r="13">
      <c r="A13" s="6">
        <f>IF($G13="","","BUG-"&amp;TEXT(ROW()-1,"000"))</f>
        <v/>
      </c>
      <c r="B13" s="7" t="n"/>
      <c r="C13" s="6" t="n"/>
      <c r="D13" s="6" t="n"/>
      <c r="E13" s="6" t="n"/>
      <c r="F13" s="6" t="n"/>
      <c r="G13" s="6" t="n"/>
      <c r="H13" s="6" t="n"/>
      <c r="I13" s="6" t="n"/>
      <c r="J13" s="6" t="n"/>
      <c r="K13" s="8" t="n"/>
      <c r="L13" s="8" t="n"/>
      <c r="M13" s="6" t="n"/>
      <c r="N13" s="8" t="n"/>
      <c r="O13" s="6" t="n"/>
      <c r="P13" s="7" t="n"/>
      <c r="Q13" s="7" t="n"/>
      <c r="R13" s="9">
        <f>IF(AND($B13&lt;&gt;"",$Q13&lt;&gt;""),$Q13-$B13,"")</f>
        <v/>
      </c>
      <c r="S13" s="6" t="n"/>
      <c r="T13" s="6" t="n"/>
      <c r="U13" s="6" t="n"/>
      <c r="V13" s="8" t="n"/>
      <c r="W13" s="7" t="n"/>
      <c r="X13" s="8" t="n"/>
      <c r="Y13" s="8">
        <f>IF(AND($P13&lt;&gt;"",$Q13="",$P13&lt;TODAY(),OR($N13="Новый",$N13="В работе",$N13="На проверке (QA)",$N13="Отложен")),"ДА","")</f>
        <v/>
      </c>
      <c r="Z13" s="6" t="n"/>
    </row>
    <row r="14">
      <c r="A14" s="2">
        <f>IF($G14="","","BUG-"&amp;TEXT(ROW()-1,"000"))</f>
        <v/>
      </c>
      <c r="B14" s="3" t="n"/>
      <c r="C14" s="2" t="n"/>
      <c r="D14" s="2" t="n"/>
      <c r="E14" s="2" t="n"/>
      <c r="F14" s="2" t="n"/>
      <c r="G14" s="2" t="n"/>
      <c r="H14" s="2" t="n"/>
      <c r="I14" s="2" t="n"/>
      <c r="J14" s="2" t="n"/>
      <c r="K14" s="4" t="n"/>
      <c r="L14" s="4" t="n"/>
      <c r="M14" s="2" t="n"/>
      <c r="N14" s="4" t="n"/>
      <c r="O14" s="2" t="n"/>
      <c r="P14" s="3" t="n"/>
      <c r="Q14" s="3" t="n"/>
      <c r="R14" s="5">
        <f>IF(AND($B14&lt;&gt;"",$Q14&lt;&gt;""),$Q14-$B14,"")</f>
        <v/>
      </c>
      <c r="S14" s="2" t="n"/>
      <c r="T14" s="2" t="n"/>
      <c r="U14" s="2" t="n"/>
      <c r="V14" s="4" t="n"/>
      <c r="W14" s="3" t="n"/>
      <c r="X14" s="4" t="n"/>
      <c r="Y14" s="4">
        <f>IF(AND($P14&lt;&gt;"",$Q14="",$P14&lt;TODAY(),OR($N14="Новый",$N14="В работе",$N14="На проверке (QA)",$N14="Отложен")),"ДА","")</f>
        <v/>
      </c>
      <c r="Z14" s="2" t="n"/>
    </row>
    <row r="15">
      <c r="A15" s="6">
        <f>IF($G15="","","BUG-"&amp;TEXT(ROW()-1,"000"))</f>
        <v/>
      </c>
      <c r="B15" s="7" t="n"/>
      <c r="C15" s="6" t="n"/>
      <c r="D15" s="6" t="n"/>
      <c r="E15" s="6" t="n"/>
      <c r="F15" s="6" t="n"/>
      <c r="G15" s="6" t="n"/>
      <c r="H15" s="6" t="n"/>
      <c r="I15" s="6" t="n"/>
      <c r="J15" s="6" t="n"/>
      <c r="K15" s="8" t="n"/>
      <c r="L15" s="8" t="n"/>
      <c r="M15" s="6" t="n"/>
      <c r="N15" s="8" t="n"/>
      <c r="O15" s="6" t="n"/>
      <c r="P15" s="7" t="n"/>
      <c r="Q15" s="7" t="n"/>
      <c r="R15" s="9">
        <f>IF(AND($B15&lt;&gt;"",$Q15&lt;&gt;""),$Q15-$B15,"")</f>
        <v/>
      </c>
      <c r="S15" s="6" t="n"/>
      <c r="T15" s="6" t="n"/>
      <c r="U15" s="6" t="n"/>
      <c r="V15" s="8" t="n"/>
      <c r="W15" s="7" t="n"/>
      <c r="X15" s="8" t="n"/>
      <c r="Y15" s="8">
        <f>IF(AND($P15&lt;&gt;"",$Q15="",$P15&lt;TODAY(),OR($N15="Новый",$N15="В работе",$N15="На проверке (QA)",$N15="Отложен")),"ДА","")</f>
        <v/>
      </c>
      <c r="Z15" s="6" t="n"/>
    </row>
    <row r="16">
      <c r="A16" s="2">
        <f>IF($G16="","","BUG-"&amp;TEXT(ROW()-1,"000"))</f>
        <v/>
      </c>
      <c r="B16" s="3" t="n"/>
      <c r="C16" s="2" t="n"/>
      <c r="D16" s="2" t="n"/>
      <c r="E16" s="2" t="n"/>
      <c r="F16" s="2" t="n"/>
      <c r="G16" s="2" t="n"/>
      <c r="H16" s="2" t="n"/>
      <c r="I16" s="2" t="n"/>
      <c r="J16" s="2" t="n"/>
      <c r="K16" s="4" t="n"/>
      <c r="L16" s="4" t="n"/>
      <c r="M16" s="2" t="n"/>
      <c r="N16" s="4" t="n"/>
      <c r="O16" s="2" t="n"/>
      <c r="P16" s="3" t="n"/>
      <c r="Q16" s="3" t="n"/>
      <c r="R16" s="5">
        <f>IF(AND($B16&lt;&gt;"",$Q16&lt;&gt;""),$Q16-$B16,"")</f>
        <v/>
      </c>
      <c r="S16" s="2" t="n"/>
      <c r="T16" s="2" t="n"/>
      <c r="U16" s="2" t="n"/>
      <c r="V16" s="4" t="n"/>
      <c r="W16" s="3" t="n"/>
      <c r="X16" s="4" t="n"/>
      <c r="Y16" s="4">
        <f>IF(AND($P16&lt;&gt;"",$Q16="",$P16&lt;TODAY(),OR($N16="Новый",$N16="В работе",$N16="На проверке (QA)",$N16="Отложен")),"ДА","")</f>
        <v/>
      </c>
      <c r="Z16" s="2" t="n"/>
    </row>
    <row r="17">
      <c r="A17" s="6">
        <f>IF($G17="","","BUG-"&amp;TEXT(ROW()-1,"000"))</f>
        <v/>
      </c>
      <c r="B17" s="7" t="n"/>
      <c r="C17" s="6" t="n"/>
      <c r="D17" s="6" t="n"/>
      <c r="E17" s="6" t="n"/>
      <c r="F17" s="6" t="n"/>
      <c r="G17" s="6" t="n"/>
      <c r="H17" s="6" t="n"/>
      <c r="I17" s="6" t="n"/>
      <c r="J17" s="6" t="n"/>
      <c r="K17" s="8" t="n"/>
      <c r="L17" s="8" t="n"/>
      <c r="M17" s="6" t="n"/>
      <c r="N17" s="8" t="n"/>
      <c r="O17" s="6" t="n"/>
      <c r="P17" s="7" t="n"/>
      <c r="Q17" s="7" t="n"/>
      <c r="R17" s="9">
        <f>IF(AND($B17&lt;&gt;"",$Q17&lt;&gt;""),$Q17-$B17,"")</f>
        <v/>
      </c>
      <c r="S17" s="6" t="n"/>
      <c r="T17" s="6" t="n"/>
      <c r="U17" s="6" t="n"/>
      <c r="V17" s="8" t="n"/>
      <c r="W17" s="7" t="n"/>
      <c r="X17" s="8" t="n"/>
      <c r="Y17" s="8">
        <f>IF(AND($P17&lt;&gt;"",$Q17="",$P17&lt;TODAY(),OR($N17="Новый",$N17="В работе",$N17="На проверке (QA)",$N17="Отложен")),"ДА","")</f>
        <v/>
      </c>
      <c r="Z17" s="6" t="n"/>
    </row>
    <row r="18">
      <c r="A18" s="2">
        <f>IF($G18="","","BUG-"&amp;TEXT(ROW()-1,"000"))</f>
        <v/>
      </c>
      <c r="B18" s="3" t="n"/>
      <c r="C18" s="2" t="n"/>
      <c r="D18" s="2" t="n"/>
      <c r="E18" s="2" t="n"/>
      <c r="F18" s="2" t="n"/>
      <c r="G18" s="2" t="n"/>
      <c r="H18" s="2" t="n"/>
      <c r="I18" s="2" t="n"/>
      <c r="J18" s="2" t="n"/>
      <c r="K18" s="4" t="n"/>
      <c r="L18" s="4" t="n"/>
      <c r="M18" s="2" t="n"/>
      <c r="N18" s="4" t="n"/>
      <c r="O18" s="2" t="n"/>
      <c r="P18" s="3" t="n"/>
      <c r="Q18" s="3" t="n"/>
      <c r="R18" s="5">
        <f>IF(AND($B18&lt;&gt;"",$Q18&lt;&gt;""),$Q18-$B18,"")</f>
        <v/>
      </c>
      <c r="S18" s="2" t="n"/>
      <c r="T18" s="2" t="n"/>
      <c r="U18" s="2" t="n"/>
      <c r="V18" s="4" t="n"/>
      <c r="W18" s="3" t="n"/>
      <c r="X18" s="4" t="n"/>
      <c r="Y18" s="4">
        <f>IF(AND($P18&lt;&gt;"",$Q18="",$P18&lt;TODAY(),OR($N18="Новый",$N18="В работе",$N18="На проверке (QA)",$N18="Отложен")),"ДА","")</f>
        <v/>
      </c>
      <c r="Z18" s="2" t="n"/>
    </row>
    <row r="19">
      <c r="A19" s="6">
        <f>IF($G19="","","BUG-"&amp;TEXT(ROW()-1,"000"))</f>
        <v/>
      </c>
      <c r="B19" s="7" t="n"/>
      <c r="C19" s="6" t="n"/>
      <c r="D19" s="6" t="n"/>
      <c r="E19" s="6" t="n"/>
      <c r="F19" s="6" t="n"/>
      <c r="G19" s="6" t="n"/>
      <c r="H19" s="6" t="n"/>
      <c r="I19" s="6" t="n"/>
      <c r="J19" s="6" t="n"/>
      <c r="K19" s="8" t="n"/>
      <c r="L19" s="8" t="n"/>
      <c r="M19" s="6" t="n"/>
      <c r="N19" s="8" t="n"/>
      <c r="O19" s="6" t="n"/>
      <c r="P19" s="7" t="n"/>
      <c r="Q19" s="7" t="n"/>
      <c r="R19" s="9">
        <f>IF(AND($B19&lt;&gt;"",$Q19&lt;&gt;""),$Q19-$B19,"")</f>
        <v/>
      </c>
      <c r="S19" s="6" t="n"/>
      <c r="T19" s="6" t="n"/>
      <c r="U19" s="6" t="n"/>
      <c r="V19" s="8" t="n"/>
      <c r="W19" s="7" t="n"/>
      <c r="X19" s="8" t="n"/>
      <c r="Y19" s="8">
        <f>IF(AND($P19&lt;&gt;"",$Q19="",$P19&lt;TODAY(),OR($N19="Новый",$N19="В работе",$N19="На проверке (QA)",$N19="Отложен")),"ДА","")</f>
        <v/>
      </c>
      <c r="Z19" s="6" t="n"/>
    </row>
    <row r="20">
      <c r="A20" s="2">
        <f>IF($G20="","","BUG-"&amp;TEXT(ROW()-1,"000"))</f>
        <v/>
      </c>
      <c r="B20" s="3" t="n"/>
      <c r="C20" s="2" t="n"/>
      <c r="D20" s="2" t="n"/>
      <c r="E20" s="2" t="n"/>
      <c r="F20" s="2" t="n"/>
      <c r="G20" s="2" t="n"/>
      <c r="H20" s="2" t="n"/>
      <c r="I20" s="2" t="n"/>
      <c r="J20" s="2" t="n"/>
      <c r="K20" s="4" t="n"/>
      <c r="L20" s="4" t="n"/>
      <c r="M20" s="2" t="n"/>
      <c r="N20" s="4" t="n"/>
      <c r="O20" s="2" t="n"/>
      <c r="P20" s="3" t="n"/>
      <c r="Q20" s="3" t="n"/>
      <c r="R20" s="5">
        <f>IF(AND($B20&lt;&gt;"",$Q20&lt;&gt;""),$Q20-$B20,"")</f>
        <v/>
      </c>
      <c r="S20" s="2" t="n"/>
      <c r="T20" s="2" t="n"/>
      <c r="U20" s="2" t="n"/>
      <c r="V20" s="4" t="n"/>
      <c r="W20" s="3" t="n"/>
      <c r="X20" s="4" t="n"/>
      <c r="Y20" s="4">
        <f>IF(AND($P20&lt;&gt;"",$Q20="",$P20&lt;TODAY(),OR($N20="Новый",$N20="В работе",$N20="На проверке (QA)",$N20="Отложен")),"ДА","")</f>
        <v/>
      </c>
      <c r="Z20" s="2" t="n"/>
    </row>
    <row r="21">
      <c r="A21" s="6">
        <f>IF($G21="","","BUG-"&amp;TEXT(ROW()-1,"000"))</f>
        <v/>
      </c>
      <c r="B21" s="7" t="n"/>
      <c r="C21" s="6" t="n"/>
      <c r="D21" s="6" t="n"/>
      <c r="E21" s="6" t="n"/>
      <c r="F21" s="6" t="n"/>
      <c r="G21" s="6" t="n"/>
      <c r="H21" s="6" t="n"/>
      <c r="I21" s="6" t="n"/>
      <c r="J21" s="6" t="n"/>
      <c r="K21" s="8" t="n"/>
      <c r="L21" s="8" t="n"/>
      <c r="M21" s="6" t="n"/>
      <c r="N21" s="8" t="n"/>
      <c r="O21" s="6" t="n"/>
      <c r="P21" s="7" t="n"/>
      <c r="Q21" s="7" t="n"/>
      <c r="R21" s="9">
        <f>IF(AND($B21&lt;&gt;"",$Q21&lt;&gt;""),$Q21-$B21,"")</f>
        <v/>
      </c>
      <c r="S21" s="6" t="n"/>
      <c r="T21" s="6" t="n"/>
      <c r="U21" s="6" t="n"/>
      <c r="V21" s="8" t="n"/>
      <c r="W21" s="7" t="n"/>
      <c r="X21" s="8" t="n"/>
      <c r="Y21" s="8">
        <f>IF(AND($P21&lt;&gt;"",$Q21="",$P21&lt;TODAY(),OR($N21="Новый",$N21="В работе",$N21="На проверке (QA)",$N21="Отложен")),"ДА","")</f>
        <v/>
      </c>
      <c r="Z21" s="6" t="n"/>
    </row>
    <row r="22">
      <c r="A22" s="2">
        <f>IF($G22="","","BUG-"&amp;TEXT(ROW()-1,"000"))</f>
        <v/>
      </c>
      <c r="B22" s="3" t="n"/>
      <c r="C22" s="2" t="n"/>
      <c r="D22" s="2" t="n"/>
      <c r="E22" s="2" t="n"/>
      <c r="F22" s="2" t="n"/>
      <c r="G22" s="2" t="n"/>
      <c r="H22" s="2" t="n"/>
      <c r="I22" s="2" t="n"/>
      <c r="J22" s="2" t="n"/>
      <c r="K22" s="4" t="n"/>
      <c r="L22" s="4" t="n"/>
      <c r="M22" s="2" t="n"/>
      <c r="N22" s="4" t="n"/>
      <c r="O22" s="2" t="n"/>
      <c r="P22" s="3" t="n"/>
      <c r="Q22" s="3" t="n"/>
      <c r="R22" s="5">
        <f>IF(AND($B22&lt;&gt;"",$Q22&lt;&gt;""),$Q22-$B22,"")</f>
        <v/>
      </c>
      <c r="S22" s="2" t="n"/>
      <c r="T22" s="2" t="n"/>
      <c r="U22" s="2" t="n"/>
      <c r="V22" s="4" t="n"/>
      <c r="W22" s="3" t="n"/>
      <c r="X22" s="4" t="n"/>
      <c r="Y22" s="4">
        <f>IF(AND($P22&lt;&gt;"",$Q22="",$P22&lt;TODAY(),OR($N22="Новый",$N22="В работе",$N22="На проверке (QA)",$N22="Отложен")),"ДА","")</f>
        <v/>
      </c>
      <c r="Z22" s="2" t="n"/>
    </row>
    <row r="23">
      <c r="A23" s="6">
        <f>IF($G23="","","BUG-"&amp;TEXT(ROW()-1,"000"))</f>
        <v/>
      </c>
      <c r="B23" s="7" t="n"/>
      <c r="C23" s="6" t="n"/>
      <c r="D23" s="6" t="n"/>
      <c r="E23" s="6" t="n"/>
      <c r="F23" s="6" t="n"/>
      <c r="G23" s="6" t="n"/>
      <c r="H23" s="6" t="n"/>
      <c r="I23" s="6" t="n"/>
      <c r="J23" s="6" t="n"/>
      <c r="K23" s="8" t="n"/>
      <c r="L23" s="8" t="n"/>
      <c r="M23" s="6" t="n"/>
      <c r="N23" s="8" t="n"/>
      <c r="O23" s="6" t="n"/>
      <c r="P23" s="7" t="n"/>
      <c r="Q23" s="7" t="n"/>
      <c r="R23" s="9">
        <f>IF(AND($B23&lt;&gt;"",$Q23&lt;&gt;""),$Q23-$B23,"")</f>
        <v/>
      </c>
      <c r="S23" s="6" t="n"/>
      <c r="T23" s="6" t="n"/>
      <c r="U23" s="6" t="n"/>
      <c r="V23" s="8" t="n"/>
      <c r="W23" s="7" t="n"/>
      <c r="X23" s="8" t="n"/>
      <c r="Y23" s="8">
        <f>IF(AND($P23&lt;&gt;"",$Q23="",$P23&lt;TODAY(),OR($N23="Новый",$N23="В работе",$N23="На проверке (QA)",$N23="Отложен")),"ДА","")</f>
        <v/>
      </c>
      <c r="Z23" s="6" t="n"/>
    </row>
    <row r="24">
      <c r="A24" s="2">
        <f>IF($G24="","","BUG-"&amp;TEXT(ROW()-1,"000"))</f>
        <v/>
      </c>
      <c r="B24" s="3" t="n"/>
      <c r="C24" s="2" t="n"/>
      <c r="D24" s="2" t="n"/>
      <c r="E24" s="2" t="n"/>
      <c r="F24" s="2" t="n"/>
      <c r="G24" s="2" t="n"/>
      <c r="H24" s="2" t="n"/>
      <c r="I24" s="2" t="n"/>
      <c r="J24" s="2" t="n"/>
      <c r="K24" s="4" t="n"/>
      <c r="L24" s="4" t="n"/>
      <c r="M24" s="2" t="n"/>
      <c r="N24" s="4" t="n"/>
      <c r="O24" s="2" t="n"/>
      <c r="P24" s="3" t="n"/>
      <c r="Q24" s="3" t="n"/>
      <c r="R24" s="5">
        <f>IF(AND($B24&lt;&gt;"",$Q24&lt;&gt;""),$Q24-$B24,"")</f>
        <v/>
      </c>
      <c r="S24" s="2" t="n"/>
      <c r="T24" s="2" t="n"/>
      <c r="U24" s="2" t="n"/>
      <c r="V24" s="4" t="n"/>
      <c r="W24" s="3" t="n"/>
      <c r="X24" s="4" t="n"/>
      <c r="Y24" s="4">
        <f>IF(AND($P24&lt;&gt;"",$Q24="",$P24&lt;TODAY(),OR($N24="Новый",$N24="В работе",$N24="На проверке (QA)",$N24="Отложен")),"ДА","")</f>
        <v/>
      </c>
      <c r="Z24" s="2" t="n"/>
    </row>
    <row r="25">
      <c r="A25" s="6">
        <f>IF($G25="","","BUG-"&amp;TEXT(ROW()-1,"000"))</f>
        <v/>
      </c>
      <c r="B25" s="7" t="n"/>
      <c r="C25" s="6" t="n"/>
      <c r="D25" s="6" t="n"/>
      <c r="E25" s="6" t="n"/>
      <c r="F25" s="6" t="n"/>
      <c r="G25" s="6" t="n"/>
      <c r="H25" s="6" t="n"/>
      <c r="I25" s="6" t="n"/>
      <c r="J25" s="6" t="n"/>
      <c r="K25" s="8" t="n"/>
      <c r="L25" s="8" t="n"/>
      <c r="M25" s="6" t="n"/>
      <c r="N25" s="8" t="n"/>
      <c r="O25" s="6" t="n"/>
      <c r="P25" s="7" t="n"/>
      <c r="Q25" s="7" t="n"/>
      <c r="R25" s="9">
        <f>IF(AND($B25&lt;&gt;"",$Q25&lt;&gt;""),$Q25-$B25,"")</f>
        <v/>
      </c>
      <c r="S25" s="6" t="n"/>
      <c r="T25" s="6" t="n"/>
      <c r="U25" s="6" t="n"/>
      <c r="V25" s="8" t="n"/>
      <c r="W25" s="7" t="n"/>
      <c r="X25" s="8" t="n"/>
      <c r="Y25" s="8">
        <f>IF(AND($P25&lt;&gt;"",$Q25="",$P25&lt;TODAY(),OR($N25="Новый",$N25="В работе",$N25="На проверке (QA)",$N25="Отложен")),"ДА","")</f>
        <v/>
      </c>
      <c r="Z25" s="6" t="n"/>
    </row>
    <row r="26">
      <c r="A26" s="2">
        <f>IF($G26="","","BUG-"&amp;TEXT(ROW()-1,"000"))</f>
        <v/>
      </c>
      <c r="B26" s="3" t="n"/>
      <c r="C26" s="2" t="n"/>
      <c r="D26" s="2" t="n"/>
      <c r="E26" s="2" t="n"/>
      <c r="F26" s="2" t="n"/>
      <c r="G26" s="2" t="n"/>
      <c r="H26" s="2" t="n"/>
      <c r="I26" s="2" t="n"/>
      <c r="J26" s="2" t="n"/>
      <c r="K26" s="4" t="n"/>
      <c r="L26" s="4" t="n"/>
      <c r="M26" s="2" t="n"/>
      <c r="N26" s="4" t="n"/>
      <c r="O26" s="2" t="n"/>
      <c r="P26" s="3" t="n"/>
      <c r="Q26" s="3" t="n"/>
      <c r="R26" s="5">
        <f>IF(AND($B26&lt;&gt;"",$Q26&lt;&gt;""),$Q26-$B26,"")</f>
        <v/>
      </c>
      <c r="S26" s="2" t="n"/>
      <c r="T26" s="2" t="n"/>
      <c r="U26" s="2" t="n"/>
      <c r="V26" s="4" t="n"/>
      <c r="W26" s="3" t="n"/>
      <c r="X26" s="4" t="n"/>
      <c r="Y26" s="4">
        <f>IF(AND($P26&lt;&gt;"",$Q26="",$P26&lt;TODAY(),OR($N26="Новый",$N26="В работе",$N26="На проверке (QA)",$N26="Отложен")),"ДА","")</f>
        <v/>
      </c>
      <c r="Z26" s="2" t="n"/>
    </row>
    <row r="27">
      <c r="A27" s="6">
        <f>IF($G27="","","BUG-"&amp;TEXT(ROW()-1,"000"))</f>
        <v/>
      </c>
      <c r="B27" s="7" t="n"/>
      <c r="C27" s="6" t="n"/>
      <c r="D27" s="6" t="n"/>
      <c r="E27" s="6" t="n"/>
      <c r="F27" s="6" t="n"/>
      <c r="G27" s="6" t="n"/>
      <c r="H27" s="6" t="n"/>
      <c r="I27" s="6" t="n"/>
      <c r="J27" s="6" t="n"/>
      <c r="K27" s="8" t="n"/>
      <c r="L27" s="8" t="n"/>
      <c r="M27" s="6" t="n"/>
      <c r="N27" s="8" t="n"/>
      <c r="O27" s="6" t="n"/>
      <c r="P27" s="7" t="n"/>
      <c r="Q27" s="7" t="n"/>
      <c r="R27" s="9">
        <f>IF(AND($B27&lt;&gt;"",$Q27&lt;&gt;""),$Q27-$B27,"")</f>
        <v/>
      </c>
      <c r="S27" s="6" t="n"/>
      <c r="T27" s="6" t="n"/>
      <c r="U27" s="6" t="n"/>
      <c r="V27" s="8" t="n"/>
      <c r="W27" s="7" t="n"/>
      <c r="X27" s="8" t="n"/>
      <c r="Y27" s="8">
        <f>IF(AND($P27&lt;&gt;"",$Q27="",$P27&lt;TODAY(),OR($N27="Новый",$N27="В работе",$N27="На проверке (QA)",$N27="Отложен")),"ДА","")</f>
        <v/>
      </c>
      <c r="Z27" s="6" t="n"/>
    </row>
    <row r="28">
      <c r="A28" s="2">
        <f>IF($G28="","","BUG-"&amp;TEXT(ROW()-1,"000"))</f>
        <v/>
      </c>
      <c r="B28" s="3" t="n"/>
      <c r="C28" s="2" t="n"/>
      <c r="D28" s="2" t="n"/>
      <c r="E28" s="2" t="n"/>
      <c r="F28" s="2" t="n"/>
      <c r="G28" s="2" t="n"/>
      <c r="H28" s="2" t="n"/>
      <c r="I28" s="2" t="n"/>
      <c r="J28" s="2" t="n"/>
      <c r="K28" s="4" t="n"/>
      <c r="L28" s="4" t="n"/>
      <c r="M28" s="2" t="n"/>
      <c r="N28" s="4" t="n"/>
      <c r="O28" s="2" t="n"/>
      <c r="P28" s="3" t="n"/>
      <c r="Q28" s="3" t="n"/>
      <c r="R28" s="5">
        <f>IF(AND($B28&lt;&gt;"",$Q28&lt;&gt;""),$Q28-$B28,"")</f>
        <v/>
      </c>
      <c r="S28" s="2" t="n"/>
      <c r="T28" s="2" t="n"/>
      <c r="U28" s="2" t="n"/>
      <c r="V28" s="4" t="n"/>
      <c r="W28" s="3" t="n"/>
      <c r="X28" s="4" t="n"/>
      <c r="Y28" s="4">
        <f>IF(AND($P28&lt;&gt;"",$Q28="",$P28&lt;TODAY(),OR($N28="Новый",$N28="В работе",$N28="На проверке (QA)",$N28="Отложен")),"ДА","")</f>
        <v/>
      </c>
      <c r="Z28" s="2" t="n"/>
    </row>
    <row r="29">
      <c r="A29" s="6">
        <f>IF($G29="","","BUG-"&amp;TEXT(ROW()-1,"000"))</f>
        <v/>
      </c>
      <c r="B29" s="7" t="n"/>
      <c r="C29" s="6" t="n"/>
      <c r="D29" s="6" t="n"/>
      <c r="E29" s="6" t="n"/>
      <c r="F29" s="6" t="n"/>
      <c r="G29" s="6" t="n"/>
      <c r="H29" s="6" t="n"/>
      <c r="I29" s="6" t="n"/>
      <c r="J29" s="6" t="n"/>
      <c r="K29" s="8" t="n"/>
      <c r="L29" s="8" t="n"/>
      <c r="M29" s="6" t="n"/>
      <c r="N29" s="8" t="n"/>
      <c r="O29" s="6" t="n"/>
      <c r="P29" s="7" t="n"/>
      <c r="Q29" s="7" t="n"/>
      <c r="R29" s="9">
        <f>IF(AND($B29&lt;&gt;"",$Q29&lt;&gt;""),$Q29-$B29,"")</f>
        <v/>
      </c>
      <c r="S29" s="6" t="n"/>
      <c r="T29" s="6" t="n"/>
      <c r="U29" s="6" t="n"/>
      <c r="V29" s="8" t="n"/>
      <c r="W29" s="7" t="n"/>
      <c r="X29" s="8" t="n"/>
      <c r="Y29" s="8">
        <f>IF(AND($P29&lt;&gt;"",$Q29="",$P29&lt;TODAY(),OR($N29="Новый",$N29="В работе",$N29="На проверке (QA)",$N29="Отложен")),"ДА","")</f>
        <v/>
      </c>
      <c r="Z29" s="6" t="n"/>
    </row>
    <row r="30">
      <c r="A30" s="2">
        <f>IF($G30="","","BUG-"&amp;TEXT(ROW()-1,"000"))</f>
        <v/>
      </c>
      <c r="B30" s="3" t="n"/>
      <c r="C30" s="2" t="n"/>
      <c r="D30" s="2" t="n"/>
      <c r="E30" s="2" t="n"/>
      <c r="F30" s="2" t="n"/>
      <c r="G30" s="2" t="n"/>
      <c r="H30" s="2" t="n"/>
      <c r="I30" s="2" t="n"/>
      <c r="J30" s="2" t="n"/>
      <c r="K30" s="4" t="n"/>
      <c r="L30" s="4" t="n"/>
      <c r="M30" s="2" t="n"/>
      <c r="N30" s="4" t="n"/>
      <c r="O30" s="2" t="n"/>
      <c r="P30" s="3" t="n"/>
      <c r="Q30" s="3" t="n"/>
      <c r="R30" s="5">
        <f>IF(AND($B30&lt;&gt;"",$Q30&lt;&gt;""),$Q30-$B30,"")</f>
        <v/>
      </c>
      <c r="S30" s="2" t="n"/>
      <c r="T30" s="2" t="n"/>
      <c r="U30" s="2" t="n"/>
      <c r="V30" s="4" t="n"/>
      <c r="W30" s="3" t="n"/>
      <c r="X30" s="4" t="n"/>
      <c r="Y30" s="4">
        <f>IF(AND($P30&lt;&gt;"",$Q30="",$P30&lt;TODAY(),OR($N30="Новый",$N30="В работе",$N30="На проверке (QA)",$N30="Отложен")),"ДА","")</f>
        <v/>
      </c>
      <c r="Z30" s="2" t="n"/>
    </row>
    <row r="31">
      <c r="A31" s="6">
        <f>IF($G31="","","BUG-"&amp;TEXT(ROW()-1,"000"))</f>
        <v/>
      </c>
      <c r="B31" s="7" t="n"/>
      <c r="C31" s="6" t="n"/>
      <c r="D31" s="6" t="n"/>
      <c r="E31" s="6" t="n"/>
      <c r="F31" s="6" t="n"/>
      <c r="G31" s="6" t="n"/>
      <c r="H31" s="6" t="n"/>
      <c r="I31" s="6" t="n"/>
      <c r="J31" s="6" t="n"/>
      <c r="K31" s="8" t="n"/>
      <c r="L31" s="8" t="n"/>
      <c r="M31" s="6" t="n"/>
      <c r="N31" s="8" t="n"/>
      <c r="O31" s="6" t="n"/>
      <c r="P31" s="7" t="n"/>
      <c r="Q31" s="7" t="n"/>
      <c r="R31" s="9">
        <f>IF(AND($B31&lt;&gt;"",$Q31&lt;&gt;""),$Q31-$B31,"")</f>
        <v/>
      </c>
      <c r="S31" s="6" t="n"/>
      <c r="T31" s="6" t="n"/>
      <c r="U31" s="6" t="n"/>
      <c r="V31" s="8" t="n"/>
      <c r="W31" s="7" t="n"/>
      <c r="X31" s="8" t="n"/>
      <c r="Y31" s="8">
        <f>IF(AND($P31&lt;&gt;"",$Q31="",$P31&lt;TODAY(),OR($N31="Новый",$N31="В работе",$N31="На проверке (QA)",$N31="Отложен")),"ДА","")</f>
        <v/>
      </c>
      <c r="Z31" s="6" t="n"/>
    </row>
    <row r="32">
      <c r="A32" s="2">
        <f>IF($G32="","","BUG-"&amp;TEXT(ROW()-1,"000"))</f>
        <v/>
      </c>
      <c r="B32" s="3" t="n"/>
      <c r="C32" s="2" t="n"/>
      <c r="D32" s="2" t="n"/>
      <c r="E32" s="2" t="n"/>
      <c r="F32" s="2" t="n"/>
      <c r="G32" s="2" t="n"/>
      <c r="H32" s="2" t="n"/>
      <c r="I32" s="2" t="n"/>
      <c r="J32" s="2" t="n"/>
      <c r="K32" s="4" t="n"/>
      <c r="L32" s="4" t="n"/>
      <c r="M32" s="2" t="n"/>
      <c r="N32" s="4" t="n"/>
      <c r="O32" s="2" t="n"/>
      <c r="P32" s="3" t="n"/>
      <c r="Q32" s="3" t="n"/>
      <c r="R32" s="5">
        <f>IF(AND($B32&lt;&gt;"",$Q32&lt;&gt;""),$Q32-$B32,"")</f>
        <v/>
      </c>
      <c r="S32" s="2" t="n"/>
      <c r="T32" s="2" t="n"/>
      <c r="U32" s="2" t="n"/>
      <c r="V32" s="4" t="n"/>
      <c r="W32" s="3" t="n"/>
      <c r="X32" s="4" t="n"/>
      <c r="Y32" s="4">
        <f>IF(AND($P32&lt;&gt;"",$Q32="",$P32&lt;TODAY(),OR($N32="Новый",$N32="В работе",$N32="На проверке (QA)",$N32="Отложен")),"ДА","")</f>
        <v/>
      </c>
      <c r="Z32" s="2" t="n"/>
    </row>
    <row r="33">
      <c r="A33" s="6">
        <f>IF($G33="","","BUG-"&amp;TEXT(ROW()-1,"000"))</f>
        <v/>
      </c>
      <c r="B33" s="7" t="n"/>
      <c r="C33" s="6" t="n"/>
      <c r="D33" s="6" t="n"/>
      <c r="E33" s="6" t="n"/>
      <c r="F33" s="6" t="n"/>
      <c r="G33" s="6" t="n"/>
      <c r="H33" s="6" t="n"/>
      <c r="I33" s="6" t="n"/>
      <c r="J33" s="6" t="n"/>
      <c r="K33" s="8" t="n"/>
      <c r="L33" s="8" t="n"/>
      <c r="M33" s="6" t="n"/>
      <c r="N33" s="8" t="n"/>
      <c r="O33" s="6" t="n"/>
      <c r="P33" s="7" t="n"/>
      <c r="Q33" s="7" t="n"/>
      <c r="R33" s="9">
        <f>IF(AND($B33&lt;&gt;"",$Q33&lt;&gt;""),$Q33-$B33,"")</f>
        <v/>
      </c>
      <c r="S33" s="6" t="n"/>
      <c r="T33" s="6" t="n"/>
      <c r="U33" s="6" t="n"/>
      <c r="V33" s="8" t="n"/>
      <c r="W33" s="7" t="n"/>
      <c r="X33" s="8" t="n"/>
      <c r="Y33" s="8">
        <f>IF(AND($P33&lt;&gt;"",$Q33="",$P33&lt;TODAY(),OR($N33="Новый",$N33="В работе",$N33="На проверке (QA)",$N33="Отложен")),"ДА","")</f>
        <v/>
      </c>
      <c r="Z33" s="6" t="n"/>
    </row>
    <row r="34">
      <c r="A34" s="2">
        <f>IF($G34="","","BUG-"&amp;TEXT(ROW()-1,"000"))</f>
        <v/>
      </c>
      <c r="B34" s="3" t="n"/>
      <c r="C34" s="2" t="n"/>
      <c r="D34" s="2" t="n"/>
      <c r="E34" s="2" t="n"/>
      <c r="F34" s="2" t="n"/>
      <c r="G34" s="2" t="n"/>
      <c r="H34" s="2" t="n"/>
      <c r="I34" s="2" t="n"/>
      <c r="J34" s="2" t="n"/>
      <c r="K34" s="4" t="n"/>
      <c r="L34" s="4" t="n"/>
      <c r="M34" s="2" t="n"/>
      <c r="N34" s="4" t="n"/>
      <c r="O34" s="2" t="n"/>
      <c r="P34" s="3" t="n"/>
      <c r="Q34" s="3" t="n"/>
      <c r="R34" s="5">
        <f>IF(AND($B34&lt;&gt;"",$Q34&lt;&gt;""),$Q34-$B34,"")</f>
        <v/>
      </c>
      <c r="S34" s="2" t="n"/>
      <c r="T34" s="2" t="n"/>
      <c r="U34" s="2" t="n"/>
      <c r="V34" s="4" t="n"/>
      <c r="W34" s="3" t="n"/>
      <c r="X34" s="4" t="n"/>
      <c r="Y34" s="4">
        <f>IF(AND($P34&lt;&gt;"",$Q34="",$P34&lt;TODAY(),OR($N34="Новый",$N34="В работе",$N34="На проверке (QA)",$N34="Отложен")),"ДА","")</f>
        <v/>
      </c>
      <c r="Z34" s="2" t="n"/>
    </row>
    <row r="35">
      <c r="A35" s="6">
        <f>IF($G35="","","BUG-"&amp;TEXT(ROW()-1,"000"))</f>
        <v/>
      </c>
      <c r="B35" s="7" t="n"/>
      <c r="C35" s="6" t="n"/>
      <c r="D35" s="6" t="n"/>
      <c r="E35" s="6" t="n"/>
      <c r="F35" s="6" t="n"/>
      <c r="G35" s="6" t="n"/>
      <c r="H35" s="6" t="n"/>
      <c r="I35" s="6" t="n"/>
      <c r="J35" s="6" t="n"/>
      <c r="K35" s="8" t="n"/>
      <c r="L35" s="8" t="n"/>
      <c r="M35" s="6" t="n"/>
      <c r="N35" s="8" t="n"/>
      <c r="O35" s="6" t="n"/>
      <c r="P35" s="7" t="n"/>
      <c r="Q35" s="7" t="n"/>
      <c r="R35" s="9">
        <f>IF(AND($B35&lt;&gt;"",$Q35&lt;&gt;""),$Q35-$B35,"")</f>
        <v/>
      </c>
      <c r="S35" s="6" t="n"/>
      <c r="T35" s="6" t="n"/>
      <c r="U35" s="6" t="n"/>
      <c r="V35" s="8" t="n"/>
      <c r="W35" s="7" t="n"/>
      <c r="X35" s="8" t="n"/>
      <c r="Y35" s="8">
        <f>IF(AND($P35&lt;&gt;"",$Q35="",$P35&lt;TODAY(),OR($N35="Новый",$N35="В работе",$N35="На проверке (QA)",$N35="Отложен")),"ДА","")</f>
        <v/>
      </c>
      <c r="Z35" s="6" t="n"/>
    </row>
    <row r="36">
      <c r="A36" s="2">
        <f>IF($G36="","","BUG-"&amp;TEXT(ROW()-1,"000"))</f>
        <v/>
      </c>
      <c r="B36" s="3" t="n"/>
      <c r="C36" s="2" t="n"/>
      <c r="D36" s="2" t="n"/>
      <c r="E36" s="2" t="n"/>
      <c r="F36" s="2" t="n"/>
      <c r="G36" s="2" t="n"/>
      <c r="H36" s="2" t="n"/>
      <c r="I36" s="2" t="n"/>
      <c r="J36" s="2" t="n"/>
      <c r="K36" s="4" t="n"/>
      <c r="L36" s="4" t="n"/>
      <c r="M36" s="2" t="n"/>
      <c r="N36" s="4" t="n"/>
      <c r="O36" s="2" t="n"/>
      <c r="P36" s="3" t="n"/>
      <c r="Q36" s="3" t="n"/>
      <c r="R36" s="5">
        <f>IF(AND($B36&lt;&gt;"",$Q36&lt;&gt;""),$Q36-$B36,"")</f>
        <v/>
      </c>
      <c r="S36" s="2" t="n"/>
      <c r="T36" s="2" t="n"/>
      <c r="U36" s="2" t="n"/>
      <c r="V36" s="4" t="n"/>
      <c r="W36" s="3" t="n"/>
      <c r="X36" s="4" t="n"/>
      <c r="Y36" s="4">
        <f>IF(AND($P36&lt;&gt;"",$Q36="",$P36&lt;TODAY(),OR($N36="Новый",$N36="В работе",$N36="На проверке (QA)",$N36="Отложен")),"ДА","")</f>
        <v/>
      </c>
      <c r="Z36" s="2" t="n"/>
    </row>
    <row r="37">
      <c r="A37" s="6">
        <f>IF($G37="","","BUG-"&amp;TEXT(ROW()-1,"000"))</f>
        <v/>
      </c>
      <c r="B37" s="7" t="n"/>
      <c r="C37" s="6" t="n"/>
      <c r="D37" s="6" t="n"/>
      <c r="E37" s="6" t="n"/>
      <c r="F37" s="6" t="n"/>
      <c r="G37" s="6" t="n"/>
      <c r="H37" s="6" t="n"/>
      <c r="I37" s="6" t="n"/>
      <c r="J37" s="6" t="n"/>
      <c r="K37" s="8" t="n"/>
      <c r="L37" s="8" t="n"/>
      <c r="M37" s="6" t="n"/>
      <c r="N37" s="8" t="n"/>
      <c r="O37" s="6" t="n"/>
      <c r="P37" s="7" t="n"/>
      <c r="Q37" s="7" t="n"/>
      <c r="R37" s="9">
        <f>IF(AND($B37&lt;&gt;"",$Q37&lt;&gt;""),$Q37-$B37,"")</f>
        <v/>
      </c>
      <c r="S37" s="6" t="n"/>
      <c r="T37" s="6" t="n"/>
      <c r="U37" s="6" t="n"/>
      <c r="V37" s="8" t="n"/>
      <c r="W37" s="7" t="n"/>
      <c r="X37" s="8" t="n"/>
      <c r="Y37" s="8">
        <f>IF(AND($P37&lt;&gt;"",$Q37="",$P37&lt;TODAY(),OR($N37="Новый",$N37="В работе",$N37="На проверке (QA)",$N37="Отложен")),"ДА","")</f>
        <v/>
      </c>
      <c r="Z37" s="6" t="n"/>
    </row>
    <row r="38">
      <c r="A38" s="2">
        <f>IF($G38="","","BUG-"&amp;TEXT(ROW()-1,"000"))</f>
        <v/>
      </c>
      <c r="B38" s="3" t="n"/>
      <c r="C38" s="2" t="n"/>
      <c r="D38" s="2" t="n"/>
      <c r="E38" s="2" t="n"/>
      <c r="F38" s="2" t="n"/>
      <c r="G38" s="2" t="n"/>
      <c r="H38" s="2" t="n"/>
      <c r="I38" s="2" t="n"/>
      <c r="J38" s="2" t="n"/>
      <c r="K38" s="4" t="n"/>
      <c r="L38" s="4" t="n"/>
      <c r="M38" s="2" t="n"/>
      <c r="N38" s="4" t="n"/>
      <c r="O38" s="2" t="n"/>
      <c r="P38" s="3" t="n"/>
      <c r="Q38" s="3" t="n"/>
      <c r="R38" s="5">
        <f>IF(AND($B38&lt;&gt;"",$Q38&lt;&gt;""),$Q38-$B38,"")</f>
        <v/>
      </c>
      <c r="S38" s="2" t="n"/>
      <c r="T38" s="2" t="n"/>
      <c r="U38" s="2" t="n"/>
      <c r="V38" s="4" t="n"/>
      <c r="W38" s="3" t="n"/>
      <c r="X38" s="4" t="n"/>
      <c r="Y38" s="4">
        <f>IF(AND($P38&lt;&gt;"",$Q38="",$P38&lt;TODAY(),OR($N38="Новый",$N38="В работе",$N38="На проверке (QA)",$N38="Отложен")),"ДА","")</f>
        <v/>
      </c>
      <c r="Z38" s="2" t="n"/>
    </row>
    <row r="39">
      <c r="A39" s="6">
        <f>IF($G39="","","BUG-"&amp;TEXT(ROW()-1,"000"))</f>
        <v/>
      </c>
      <c r="B39" s="7" t="n"/>
      <c r="C39" s="6" t="n"/>
      <c r="D39" s="6" t="n"/>
      <c r="E39" s="6" t="n"/>
      <c r="F39" s="6" t="n"/>
      <c r="G39" s="6" t="n"/>
      <c r="H39" s="6" t="n"/>
      <c r="I39" s="6" t="n"/>
      <c r="J39" s="6" t="n"/>
      <c r="K39" s="8" t="n"/>
      <c r="L39" s="8" t="n"/>
      <c r="M39" s="6" t="n"/>
      <c r="N39" s="8" t="n"/>
      <c r="O39" s="6" t="n"/>
      <c r="P39" s="7" t="n"/>
      <c r="Q39" s="7" t="n"/>
      <c r="R39" s="9">
        <f>IF(AND($B39&lt;&gt;"",$Q39&lt;&gt;""),$Q39-$B39,"")</f>
        <v/>
      </c>
      <c r="S39" s="6" t="n"/>
      <c r="T39" s="6" t="n"/>
      <c r="U39" s="6" t="n"/>
      <c r="V39" s="8" t="n"/>
      <c r="W39" s="7" t="n"/>
      <c r="X39" s="8" t="n"/>
      <c r="Y39" s="8">
        <f>IF(AND($P39&lt;&gt;"",$Q39="",$P39&lt;TODAY(),OR($N39="Новый",$N39="В работе",$N39="На проверке (QA)",$N39="Отложен")),"ДА","")</f>
        <v/>
      </c>
      <c r="Z39" s="6" t="n"/>
    </row>
    <row r="40">
      <c r="A40" s="2">
        <f>IF($G40="","","BUG-"&amp;TEXT(ROW()-1,"000"))</f>
        <v/>
      </c>
      <c r="B40" s="3" t="n"/>
      <c r="C40" s="2" t="n"/>
      <c r="D40" s="2" t="n"/>
      <c r="E40" s="2" t="n"/>
      <c r="F40" s="2" t="n"/>
      <c r="G40" s="2" t="n"/>
      <c r="H40" s="2" t="n"/>
      <c r="I40" s="2" t="n"/>
      <c r="J40" s="2" t="n"/>
      <c r="K40" s="4" t="n"/>
      <c r="L40" s="4" t="n"/>
      <c r="M40" s="2" t="n"/>
      <c r="N40" s="4" t="n"/>
      <c r="O40" s="2" t="n"/>
      <c r="P40" s="3" t="n"/>
      <c r="Q40" s="3" t="n"/>
      <c r="R40" s="5">
        <f>IF(AND($B40&lt;&gt;"",$Q40&lt;&gt;""),$Q40-$B40,"")</f>
        <v/>
      </c>
      <c r="S40" s="2" t="n"/>
      <c r="T40" s="2" t="n"/>
      <c r="U40" s="2" t="n"/>
      <c r="V40" s="4" t="n"/>
      <c r="W40" s="3" t="n"/>
      <c r="X40" s="4" t="n"/>
      <c r="Y40" s="4">
        <f>IF(AND($P40&lt;&gt;"",$Q40="",$P40&lt;TODAY(),OR($N40="Новый",$N40="В работе",$N40="На проверке (QA)",$N40="Отложен")),"ДА","")</f>
        <v/>
      </c>
      <c r="Z40" s="2" t="n"/>
    </row>
    <row r="41">
      <c r="A41" s="6">
        <f>IF($G41="","","BUG-"&amp;TEXT(ROW()-1,"000"))</f>
        <v/>
      </c>
      <c r="B41" s="7" t="n"/>
      <c r="C41" s="6" t="n"/>
      <c r="D41" s="6" t="n"/>
      <c r="E41" s="6" t="n"/>
      <c r="F41" s="6" t="n"/>
      <c r="G41" s="6" t="n"/>
      <c r="H41" s="6" t="n"/>
      <c r="I41" s="6" t="n"/>
      <c r="J41" s="6" t="n"/>
      <c r="K41" s="8" t="n"/>
      <c r="L41" s="8" t="n"/>
      <c r="M41" s="6" t="n"/>
      <c r="N41" s="8" t="n"/>
      <c r="O41" s="6" t="n"/>
      <c r="P41" s="7" t="n"/>
      <c r="Q41" s="7" t="n"/>
      <c r="R41" s="9">
        <f>IF(AND($B41&lt;&gt;"",$Q41&lt;&gt;""),$Q41-$B41,"")</f>
        <v/>
      </c>
      <c r="S41" s="6" t="n"/>
      <c r="T41" s="6" t="n"/>
      <c r="U41" s="6" t="n"/>
      <c r="V41" s="8" t="n"/>
      <c r="W41" s="7" t="n"/>
      <c r="X41" s="8" t="n"/>
      <c r="Y41" s="8">
        <f>IF(AND($P41&lt;&gt;"",$Q41="",$P41&lt;TODAY(),OR($N41="Новый",$N41="В работе",$N41="На проверке (QA)",$N41="Отложен")),"ДА","")</f>
        <v/>
      </c>
      <c r="Z41" s="6" t="n"/>
    </row>
    <row r="42">
      <c r="A42" s="2">
        <f>IF($G42="","","BUG-"&amp;TEXT(ROW()-1,"000"))</f>
        <v/>
      </c>
      <c r="B42" s="3" t="n"/>
      <c r="C42" s="2" t="n"/>
      <c r="D42" s="2" t="n"/>
      <c r="E42" s="2" t="n"/>
      <c r="F42" s="2" t="n"/>
      <c r="G42" s="2" t="n"/>
      <c r="H42" s="2" t="n"/>
      <c r="I42" s="2" t="n"/>
      <c r="J42" s="2" t="n"/>
      <c r="K42" s="4" t="n"/>
      <c r="L42" s="4" t="n"/>
      <c r="M42" s="2" t="n"/>
      <c r="N42" s="4" t="n"/>
      <c r="O42" s="2" t="n"/>
      <c r="P42" s="3" t="n"/>
      <c r="Q42" s="3" t="n"/>
      <c r="R42" s="5">
        <f>IF(AND($B42&lt;&gt;"",$Q42&lt;&gt;""),$Q42-$B42,"")</f>
        <v/>
      </c>
      <c r="S42" s="2" t="n"/>
      <c r="T42" s="2" t="n"/>
      <c r="U42" s="2" t="n"/>
      <c r="V42" s="4" t="n"/>
      <c r="W42" s="3" t="n"/>
      <c r="X42" s="4" t="n"/>
      <c r="Y42" s="4">
        <f>IF(AND($P42&lt;&gt;"",$Q42="",$P42&lt;TODAY(),OR($N42="Новый",$N42="В работе",$N42="На проверке (QA)",$N42="Отложен")),"ДА","")</f>
        <v/>
      </c>
      <c r="Z42" s="2" t="n"/>
    </row>
    <row r="43">
      <c r="A43" s="6">
        <f>IF($G43="","","BUG-"&amp;TEXT(ROW()-1,"000"))</f>
        <v/>
      </c>
      <c r="B43" s="7" t="n"/>
      <c r="C43" s="6" t="n"/>
      <c r="D43" s="6" t="n"/>
      <c r="E43" s="6" t="n"/>
      <c r="F43" s="6" t="n"/>
      <c r="G43" s="6" t="n"/>
      <c r="H43" s="6" t="n"/>
      <c r="I43" s="6" t="n"/>
      <c r="J43" s="6" t="n"/>
      <c r="K43" s="8" t="n"/>
      <c r="L43" s="8" t="n"/>
      <c r="M43" s="6" t="n"/>
      <c r="N43" s="8" t="n"/>
      <c r="O43" s="6" t="n"/>
      <c r="P43" s="7" t="n"/>
      <c r="Q43" s="7" t="n"/>
      <c r="R43" s="9">
        <f>IF(AND($B43&lt;&gt;"",$Q43&lt;&gt;""),$Q43-$B43,"")</f>
        <v/>
      </c>
      <c r="S43" s="6" t="n"/>
      <c r="T43" s="6" t="n"/>
      <c r="U43" s="6" t="n"/>
      <c r="V43" s="8" t="n"/>
      <c r="W43" s="7" t="n"/>
      <c r="X43" s="8" t="n"/>
      <c r="Y43" s="8">
        <f>IF(AND($P43&lt;&gt;"",$Q43="",$P43&lt;TODAY(),OR($N43="Новый",$N43="В работе",$N43="На проверке (QA)",$N43="Отложен")),"ДА","")</f>
        <v/>
      </c>
      <c r="Z43" s="6" t="n"/>
    </row>
    <row r="44">
      <c r="A44" s="2">
        <f>IF($G44="","","BUG-"&amp;TEXT(ROW()-1,"000"))</f>
        <v/>
      </c>
      <c r="B44" s="3" t="n"/>
      <c r="C44" s="2" t="n"/>
      <c r="D44" s="2" t="n"/>
      <c r="E44" s="2" t="n"/>
      <c r="F44" s="2" t="n"/>
      <c r="G44" s="2" t="n"/>
      <c r="H44" s="2" t="n"/>
      <c r="I44" s="2" t="n"/>
      <c r="J44" s="2" t="n"/>
      <c r="K44" s="4" t="n"/>
      <c r="L44" s="4" t="n"/>
      <c r="M44" s="2" t="n"/>
      <c r="N44" s="4" t="n"/>
      <c r="O44" s="2" t="n"/>
      <c r="P44" s="3" t="n"/>
      <c r="Q44" s="3" t="n"/>
      <c r="R44" s="5">
        <f>IF(AND($B44&lt;&gt;"",$Q44&lt;&gt;""),$Q44-$B44,"")</f>
        <v/>
      </c>
      <c r="S44" s="2" t="n"/>
      <c r="T44" s="2" t="n"/>
      <c r="U44" s="2" t="n"/>
      <c r="V44" s="4" t="n"/>
      <c r="W44" s="3" t="n"/>
      <c r="X44" s="4" t="n"/>
      <c r="Y44" s="4">
        <f>IF(AND($P44&lt;&gt;"",$Q44="",$P44&lt;TODAY(),OR($N44="Новый",$N44="В работе",$N44="На проверке (QA)",$N44="Отложен")),"ДА","")</f>
        <v/>
      </c>
      <c r="Z44" s="2" t="n"/>
    </row>
    <row r="45">
      <c r="A45" s="6">
        <f>IF($G45="","","BUG-"&amp;TEXT(ROW()-1,"000"))</f>
        <v/>
      </c>
      <c r="B45" s="7" t="n"/>
      <c r="C45" s="6" t="n"/>
      <c r="D45" s="6" t="n"/>
      <c r="E45" s="6" t="n"/>
      <c r="F45" s="6" t="n"/>
      <c r="G45" s="6" t="n"/>
      <c r="H45" s="6" t="n"/>
      <c r="I45" s="6" t="n"/>
      <c r="J45" s="6" t="n"/>
      <c r="K45" s="8" t="n"/>
      <c r="L45" s="8" t="n"/>
      <c r="M45" s="6" t="n"/>
      <c r="N45" s="8" t="n"/>
      <c r="O45" s="6" t="n"/>
      <c r="P45" s="7" t="n"/>
      <c r="Q45" s="7" t="n"/>
      <c r="R45" s="9">
        <f>IF(AND($B45&lt;&gt;"",$Q45&lt;&gt;""),$Q45-$B45,"")</f>
        <v/>
      </c>
      <c r="S45" s="6" t="n"/>
      <c r="T45" s="6" t="n"/>
      <c r="U45" s="6" t="n"/>
      <c r="V45" s="8" t="n"/>
      <c r="W45" s="7" t="n"/>
      <c r="X45" s="8" t="n"/>
      <c r="Y45" s="8">
        <f>IF(AND($P45&lt;&gt;"",$Q45="",$P45&lt;TODAY(),OR($N45="Новый",$N45="В работе",$N45="На проверке (QA)",$N45="Отложен")),"ДА","")</f>
        <v/>
      </c>
      <c r="Z45" s="6" t="n"/>
    </row>
    <row r="46">
      <c r="A46" s="2">
        <f>IF($G46="","","BUG-"&amp;TEXT(ROW()-1,"000"))</f>
        <v/>
      </c>
      <c r="B46" s="3" t="n"/>
      <c r="C46" s="2" t="n"/>
      <c r="D46" s="2" t="n"/>
      <c r="E46" s="2" t="n"/>
      <c r="F46" s="2" t="n"/>
      <c r="G46" s="2" t="n"/>
      <c r="H46" s="2" t="n"/>
      <c r="I46" s="2" t="n"/>
      <c r="J46" s="2" t="n"/>
      <c r="K46" s="4" t="n"/>
      <c r="L46" s="4" t="n"/>
      <c r="M46" s="2" t="n"/>
      <c r="N46" s="4" t="n"/>
      <c r="O46" s="2" t="n"/>
      <c r="P46" s="3" t="n"/>
      <c r="Q46" s="3" t="n"/>
      <c r="R46" s="5">
        <f>IF(AND($B46&lt;&gt;"",$Q46&lt;&gt;""),$Q46-$B46,"")</f>
        <v/>
      </c>
      <c r="S46" s="2" t="n"/>
      <c r="T46" s="2" t="n"/>
      <c r="U46" s="2" t="n"/>
      <c r="V46" s="4" t="n"/>
      <c r="W46" s="3" t="n"/>
      <c r="X46" s="4" t="n"/>
      <c r="Y46" s="4">
        <f>IF(AND($P46&lt;&gt;"",$Q46="",$P46&lt;TODAY(),OR($N46="Новый",$N46="В работе",$N46="На проверке (QA)",$N46="Отложен")),"ДА","")</f>
        <v/>
      </c>
      <c r="Z46" s="2" t="n"/>
    </row>
    <row r="47">
      <c r="A47" s="6">
        <f>IF($G47="","","BUG-"&amp;TEXT(ROW()-1,"000"))</f>
        <v/>
      </c>
      <c r="B47" s="7" t="n"/>
      <c r="C47" s="6" t="n"/>
      <c r="D47" s="6" t="n"/>
      <c r="E47" s="6" t="n"/>
      <c r="F47" s="6" t="n"/>
      <c r="G47" s="6" t="n"/>
      <c r="H47" s="6" t="n"/>
      <c r="I47" s="6" t="n"/>
      <c r="J47" s="6" t="n"/>
      <c r="K47" s="8" t="n"/>
      <c r="L47" s="8" t="n"/>
      <c r="M47" s="6" t="n"/>
      <c r="N47" s="8" t="n"/>
      <c r="O47" s="6" t="n"/>
      <c r="P47" s="7" t="n"/>
      <c r="Q47" s="7" t="n"/>
      <c r="R47" s="9">
        <f>IF(AND($B47&lt;&gt;"",$Q47&lt;&gt;""),$Q47-$B47,"")</f>
        <v/>
      </c>
      <c r="S47" s="6" t="n"/>
      <c r="T47" s="6" t="n"/>
      <c r="U47" s="6" t="n"/>
      <c r="V47" s="8" t="n"/>
      <c r="W47" s="7" t="n"/>
      <c r="X47" s="8" t="n"/>
      <c r="Y47" s="8">
        <f>IF(AND($P47&lt;&gt;"",$Q47="",$P47&lt;TODAY(),OR($N47="Новый",$N47="В работе",$N47="На проверке (QA)",$N47="Отложен")),"ДА","")</f>
        <v/>
      </c>
      <c r="Z47" s="6" t="n"/>
    </row>
    <row r="48">
      <c r="A48" s="2">
        <f>IF($G48="","","BUG-"&amp;TEXT(ROW()-1,"000"))</f>
        <v/>
      </c>
      <c r="B48" s="3" t="n"/>
      <c r="C48" s="2" t="n"/>
      <c r="D48" s="2" t="n"/>
      <c r="E48" s="2" t="n"/>
      <c r="F48" s="2" t="n"/>
      <c r="G48" s="2" t="n"/>
      <c r="H48" s="2" t="n"/>
      <c r="I48" s="2" t="n"/>
      <c r="J48" s="2" t="n"/>
      <c r="K48" s="4" t="n"/>
      <c r="L48" s="4" t="n"/>
      <c r="M48" s="2" t="n"/>
      <c r="N48" s="4" t="n"/>
      <c r="O48" s="2" t="n"/>
      <c r="P48" s="3" t="n"/>
      <c r="Q48" s="3" t="n"/>
      <c r="R48" s="5">
        <f>IF(AND($B48&lt;&gt;"",$Q48&lt;&gt;""),$Q48-$B48,"")</f>
        <v/>
      </c>
      <c r="S48" s="2" t="n"/>
      <c r="T48" s="2" t="n"/>
      <c r="U48" s="2" t="n"/>
      <c r="V48" s="4" t="n"/>
      <c r="W48" s="3" t="n"/>
      <c r="X48" s="4" t="n"/>
      <c r="Y48" s="4">
        <f>IF(AND($P48&lt;&gt;"",$Q48="",$P48&lt;TODAY(),OR($N48="Новый",$N48="В работе",$N48="На проверке (QA)",$N48="Отложен")),"ДА","")</f>
        <v/>
      </c>
      <c r="Z48" s="2" t="n"/>
    </row>
    <row r="49">
      <c r="A49" s="6">
        <f>IF($G49="","","BUG-"&amp;TEXT(ROW()-1,"000"))</f>
        <v/>
      </c>
      <c r="B49" s="7" t="n"/>
      <c r="C49" s="6" t="n"/>
      <c r="D49" s="6" t="n"/>
      <c r="E49" s="6" t="n"/>
      <c r="F49" s="6" t="n"/>
      <c r="G49" s="6" t="n"/>
      <c r="H49" s="6" t="n"/>
      <c r="I49" s="6" t="n"/>
      <c r="J49" s="6" t="n"/>
      <c r="K49" s="8" t="n"/>
      <c r="L49" s="8" t="n"/>
      <c r="M49" s="6" t="n"/>
      <c r="N49" s="8" t="n"/>
      <c r="O49" s="6" t="n"/>
      <c r="P49" s="7" t="n"/>
      <c r="Q49" s="7" t="n"/>
      <c r="R49" s="9">
        <f>IF(AND($B49&lt;&gt;"",$Q49&lt;&gt;""),$Q49-$B49,"")</f>
        <v/>
      </c>
      <c r="S49" s="6" t="n"/>
      <c r="T49" s="6" t="n"/>
      <c r="U49" s="6" t="n"/>
      <c r="V49" s="8" t="n"/>
      <c r="W49" s="7" t="n"/>
      <c r="X49" s="8" t="n"/>
      <c r="Y49" s="8">
        <f>IF(AND($P49&lt;&gt;"",$Q49="",$P49&lt;TODAY(),OR($N49="Новый",$N49="В работе",$N49="На проверке (QA)",$N49="Отложен")),"ДА","")</f>
        <v/>
      </c>
      <c r="Z49" s="6" t="n"/>
    </row>
    <row r="50">
      <c r="A50" s="2">
        <f>IF($G50="","","BUG-"&amp;TEXT(ROW()-1,"000"))</f>
        <v/>
      </c>
      <c r="B50" s="3" t="n"/>
      <c r="C50" s="2" t="n"/>
      <c r="D50" s="2" t="n"/>
      <c r="E50" s="2" t="n"/>
      <c r="F50" s="2" t="n"/>
      <c r="G50" s="2" t="n"/>
      <c r="H50" s="2" t="n"/>
      <c r="I50" s="2" t="n"/>
      <c r="J50" s="2" t="n"/>
      <c r="K50" s="4" t="n"/>
      <c r="L50" s="4" t="n"/>
      <c r="M50" s="2" t="n"/>
      <c r="N50" s="4" t="n"/>
      <c r="O50" s="2" t="n"/>
      <c r="P50" s="3" t="n"/>
      <c r="Q50" s="3" t="n"/>
      <c r="R50" s="5">
        <f>IF(AND($B50&lt;&gt;"",$Q50&lt;&gt;""),$Q50-$B50,"")</f>
        <v/>
      </c>
      <c r="S50" s="2" t="n"/>
      <c r="T50" s="2" t="n"/>
      <c r="U50" s="2" t="n"/>
      <c r="V50" s="4" t="n"/>
      <c r="W50" s="3" t="n"/>
      <c r="X50" s="4" t="n"/>
      <c r="Y50" s="4">
        <f>IF(AND($P50&lt;&gt;"",$Q50="",$P50&lt;TODAY(),OR($N50="Новый",$N50="В работе",$N50="На проверке (QA)",$N50="Отложен")),"ДА","")</f>
        <v/>
      </c>
      <c r="Z50" s="2" t="n"/>
    </row>
    <row r="51">
      <c r="A51" s="6">
        <f>IF($G51="","","BUG-"&amp;TEXT(ROW()-1,"000"))</f>
        <v/>
      </c>
      <c r="B51" s="7" t="n"/>
      <c r="C51" s="6" t="n"/>
      <c r="D51" s="6" t="n"/>
      <c r="E51" s="6" t="n"/>
      <c r="F51" s="6" t="n"/>
      <c r="G51" s="6" t="n"/>
      <c r="H51" s="6" t="n"/>
      <c r="I51" s="6" t="n"/>
      <c r="J51" s="6" t="n"/>
      <c r="K51" s="8" t="n"/>
      <c r="L51" s="8" t="n"/>
      <c r="M51" s="6" t="n"/>
      <c r="N51" s="8" t="n"/>
      <c r="O51" s="6" t="n"/>
      <c r="P51" s="7" t="n"/>
      <c r="Q51" s="7" t="n"/>
      <c r="R51" s="9">
        <f>IF(AND($B51&lt;&gt;"",$Q51&lt;&gt;""),$Q51-$B51,"")</f>
        <v/>
      </c>
      <c r="S51" s="6" t="n"/>
      <c r="T51" s="6" t="n"/>
      <c r="U51" s="6" t="n"/>
      <c r="V51" s="8" t="n"/>
      <c r="W51" s="7" t="n"/>
      <c r="X51" s="8" t="n"/>
      <c r="Y51" s="8">
        <f>IF(AND($P51&lt;&gt;"",$Q51="",$P51&lt;TODAY(),OR($N51="Новый",$N51="В работе",$N51="На проверке (QA)",$N51="Отложен")),"ДА","")</f>
        <v/>
      </c>
      <c r="Z51" s="6" t="n"/>
    </row>
    <row r="52">
      <c r="A52" s="2">
        <f>IF($G52="","","BUG-"&amp;TEXT(ROW()-1,"000"))</f>
        <v/>
      </c>
      <c r="B52" s="3" t="n"/>
      <c r="C52" s="2" t="n"/>
      <c r="D52" s="2" t="n"/>
      <c r="E52" s="2" t="n"/>
      <c r="F52" s="2" t="n"/>
      <c r="G52" s="2" t="n"/>
      <c r="H52" s="2" t="n"/>
      <c r="I52" s="2" t="n"/>
      <c r="J52" s="2" t="n"/>
      <c r="K52" s="4" t="n"/>
      <c r="L52" s="4" t="n"/>
      <c r="M52" s="2" t="n"/>
      <c r="N52" s="4" t="n"/>
      <c r="O52" s="2" t="n"/>
      <c r="P52" s="3" t="n"/>
      <c r="Q52" s="3" t="n"/>
      <c r="R52" s="5">
        <f>IF(AND($B52&lt;&gt;"",$Q52&lt;&gt;""),$Q52-$B52,"")</f>
        <v/>
      </c>
      <c r="S52" s="2" t="n"/>
      <c r="T52" s="2" t="n"/>
      <c r="U52" s="2" t="n"/>
      <c r="V52" s="4" t="n"/>
      <c r="W52" s="3" t="n"/>
      <c r="X52" s="4" t="n"/>
      <c r="Y52" s="4">
        <f>IF(AND($P52&lt;&gt;"",$Q52="",$P52&lt;TODAY(),OR($N52="Новый",$N52="В работе",$N52="На проверке (QA)",$N52="Отложен")),"ДА","")</f>
        <v/>
      </c>
      <c r="Z52" s="2" t="n"/>
    </row>
    <row r="53">
      <c r="A53" s="6">
        <f>IF($G53="","","BUG-"&amp;TEXT(ROW()-1,"000"))</f>
        <v/>
      </c>
      <c r="B53" s="7" t="n"/>
      <c r="C53" s="6" t="n"/>
      <c r="D53" s="6" t="n"/>
      <c r="E53" s="6" t="n"/>
      <c r="F53" s="6" t="n"/>
      <c r="G53" s="6" t="n"/>
      <c r="H53" s="6" t="n"/>
      <c r="I53" s="6" t="n"/>
      <c r="J53" s="6" t="n"/>
      <c r="K53" s="8" t="n"/>
      <c r="L53" s="8" t="n"/>
      <c r="M53" s="6" t="n"/>
      <c r="N53" s="8" t="n"/>
      <c r="O53" s="6" t="n"/>
      <c r="P53" s="7" t="n"/>
      <c r="Q53" s="7" t="n"/>
      <c r="R53" s="9">
        <f>IF(AND($B53&lt;&gt;"",$Q53&lt;&gt;""),$Q53-$B53,"")</f>
        <v/>
      </c>
      <c r="S53" s="6" t="n"/>
      <c r="T53" s="6" t="n"/>
      <c r="U53" s="6" t="n"/>
      <c r="V53" s="8" t="n"/>
      <c r="W53" s="7" t="n"/>
      <c r="X53" s="8" t="n"/>
      <c r="Y53" s="8">
        <f>IF(AND($P53&lt;&gt;"",$Q53="",$P53&lt;TODAY(),OR($N53="Новый",$N53="В работе",$N53="На проверке (QA)",$N53="Отложен")),"ДА","")</f>
        <v/>
      </c>
      <c r="Z53" s="6" t="n"/>
    </row>
    <row r="54">
      <c r="A54" s="2">
        <f>IF($G54="","","BUG-"&amp;TEXT(ROW()-1,"000"))</f>
        <v/>
      </c>
      <c r="B54" s="3" t="n"/>
      <c r="C54" s="2" t="n"/>
      <c r="D54" s="2" t="n"/>
      <c r="E54" s="2" t="n"/>
      <c r="F54" s="2" t="n"/>
      <c r="G54" s="2" t="n"/>
      <c r="H54" s="2" t="n"/>
      <c r="I54" s="2" t="n"/>
      <c r="J54" s="2" t="n"/>
      <c r="K54" s="4" t="n"/>
      <c r="L54" s="4" t="n"/>
      <c r="M54" s="2" t="n"/>
      <c r="N54" s="4" t="n"/>
      <c r="O54" s="2" t="n"/>
      <c r="P54" s="3" t="n"/>
      <c r="Q54" s="3" t="n"/>
      <c r="R54" s="5">
        <f>IF(AND($B54&lt;&gt;"",$Q54&lt;&gt;""),$Q54-$B54,"")</f>
        <v/>
      </c>
      <c r="S54" s="2" t="n"/>
      <c r="T54" s="2" t="n"/>
      <c r="U54" s="2" t="n"/>
      <c r="V54" s="4" t="n"/>
      <c r="W54" s="3" t="n"/>
      <c r="X54" s="4" t="n"/>
      <c r="Y54" s="4">
        <f>IF(AND($P54&lt;&gt;"",$Q54="",$P54&lt;TODAY(),OR($N54="Новый",$N54="В работе",$N54="На проверке (QA)",$N54="Отложен")),"ДА","")</f>
        <v/>
      </c>
      <c r="Z54" s="2" t="n"/>
    </row>
    <row r="55">
      <c r="A55" s="6">
        <f>IF($G55="","","BUG-"&amp;TEXT(ROW()-1,"000"))</f>
        <v/>
      </c>
      <c r="B55" s="7" t="n"/>
      <c r="C55" s="6" t="n"/>
      <c r="D55" s="6" t="n"/>
      <c r="E55" s="6" t="n"/>
      <c r="F55" s="6" t="n"/>
      <c r="G55" s="6" t="n"/>
      <c r="H55" s="6" t="n"/>
      <c r="I55" s="6" t="n"/>
      <c r="J55" s="6" t="n"/>
      <c r="K55" s="8" t="n"/>
      <c r="L55" s="8" t="n"/>
      <c r="M55" s="6" t="n"/>
      <c r="N55" s="8" t="n"/>
      <c r="O55" s="6" t="n"/>
      <c r="P55" s="7" t="n"/>
      <c r="Q55" s="7" t="n"/>
      <c r="R55" s="9">
        <f>IF(AND($B55&lt;&gt;"",$Q55&lt;&gt;""),$Q55-$B55,"")</f>
        <v/>
      </c>
      <c r="S55" s="6" t="n"/>
      <c r="T55" s="6" t="n"/>
      <c r="U55" s="6" t="n"/>
      <c r="V55" s="8" t="n"/>
      <c r="W55" s="7" t="n"/>
      <c r="X55" s="8" t="n"/>
      <c r="Y55" s="8">
        <f>IF(AND($P55&lt;&gt;"",$Q55="",$P55&lt;TODAY(),OR($N55="Новый",$N55="В работе",$N55="На проверке (QA)",$N55="Отложен")),"ДА","")</f>
        <v/>
      </c>
      <c r="Z55" s="6" t="n"/>
    </row>
    <row r="56">
      <c r="A56" s="2">
        <f>IF($G56="","","BUG-"&amp;TEXT(ROW()-1,"000"))</f>
        <v/>
      </c>
      <c r="B56" s="3" t="n"/>
      <c r="C56" s="2" t="n"/>
      <c r="D56" s="2" t="n"/>
      <c r="E56" s="2" t="n"/>
      <c r="F56" s="2" t="n"/>
      <c r="G56" s="2" t="n"/>
      <c r="H56" s="2" t="n"/>
      <c r="I56" s="2" t="n"/>
      <c r="J56" s="2" t="n"/>
      <c r="K56" s="4" t="n"/>
      <c r="L56" s="4" t="n"/>
      <c r="M56" s="2" t="n"/>
      <c r="N56" s="4" t="n"/>
      <c r="O56" s="2" t="n"/>
      <c r="P56" s="3" t="n"/>
      <c r="Q56" s="3" t="n"/>
      <c r="R56" s="5">
        <f>IF(AND($B56&lt;&gt;"",$Q56&lt;&gt;""),$Q56-$B56,"")</f>
        <v/>
      </c>
      <c r="S56" s="2" t="n"/>
      <c r="T56" s="2" t="n"/>
      <c r="U56" s="2" t="n"/>
      <c r="V56" s="4" t="n"/>
      <c r="W56" s="3" t="n"/>
      <c r="X56" s="4" t="n"/>
      <c r="Y56" s="4">
        <f>IF(AND($P56&lt;&gt;"",$Q56="",$P56&lt;TODAY(),OR($N56="Новый",$N56="В работе",$N56="На проверке (QA)",$N56="Отложен")),"ДА","")</f>
        <v/>
      </c>
      <c r="Z56" s="2" t="n"/>
    </row>
    <row r="57">
      <c r="A57" s="6">
        <f>IF($G57="","","BUG-"&amp;TEXT(ROW()-1,"000"))</f>
        <v/>
      </c>
      <c r="B57" s="7" t="n"/>
      <c r="C57" s="6" t="n"/>
      <c r="D57" s="6" t="n"/>
      <c r="E57" s="6" t="n"/>
      <c r="F57" s="6" t="n"/>
      <c r="G57" s="6" t="n"/>
      <c r="H57" s="6" t="n"/>
      <c r="I57" s="6" t="n"/>
      <c r="J57" s="6" t="n"/>
      <c r="K57" s="8" t="n"/>
      <c r="L57" s="8" t="n"/>
      <c r="M57" s="6" t="n"/>
      <c r="N57" s="8" t="n"/>
      <c r="O57" s="6" t="n"/>
      <c r="P57" s="7" t="n"/>
      <c r="Q57" s="7" t="n"/>
      <c r="R57" s="9">
        <f>IF(AND($B57&lt;&gt;"",$Q57&lt;&gt;""),$Q57-$B57,"")</f>
        <v/>
      </c>
      <c r="S57" s="6" t="n"/>
      <c r="T57" s="6" t="n"/>
      <c r="U57" s="6" t="n"/>
      <c r="V57" s="8" t="n"/>
      <c r="W57" s="7" t="n"/>
      <c r="X57" s="8" t="n"/>
      <c r="Y57" s="8">
        <f>IF(AND($P57&lt;&gt;"",$Q57="",$P57&lt;TODAY(),OR($N57="Новый",$N57="В работе",$N57="На проверке (QA)",$N57="Отложен")),"ДА","")</f>
        <v/>
      </c>
      <c r="Z57" s="6" t="n"/>
    </row>
    <row r="58">
      <c r="A58" s="2">
        <f>IF($G58="","","BUG-"&amp;TEXT(ROW()-1,"000"))</f>
        <v/>
      </c>
      <c r="B58" s="3" t="n"/>
      <c r="C58" s="2" t="n"/>
      <c r="D58" s="2" t="n"/>
      <c r="E58" s="2" t="n"/>
      <c r="F58" s="2" t="n"/>
      <c r="G58" s="2" t="n"/>
      <c r="H58" s="2" t="n"/>
      <c r="I58" s="2" t="n"/>
      <c r="J58" s="2" t="n"/>
      <c r="K58" s="4" t="n"/>
      <c r="L58" s="4" t="n"/>
      <c r="M58" s="2" t="n"/>
      <c r="N58" s="4" t="n"/>
      <c r="O58" s="2" t="n"/>
      <c r="P58" s="3" t="n"/>
      <c r="Q58" s="3" t="n"/>
      <c r="R58" s="5">
        <f>IF(AND($B58&lt;&gt;"",$Q58&lt;&gt;""),$Q58-$B58,"")</f>
        <v/>
      </c>
      <c r="S58" s="2" t="n"/>
      <c r="T58" s="2" t="n"/>
      <c r="U58" s="2" t="n"/>
      <c r="V58" s="4" t="n"/>
      <c r="W58" s="3" t="n"/>
      <c r="X58" s="4" t="n"/>
      <c r="Y58" s="4">
        <f>IF(AND($P58&lt;&gt;"",$Q58="",$P58&lt;TODAY(),OR($N58="Новый",$N58="В работе",$N58="На проверке (QA)",$N58="Отложен")),"ДА","")</f>
        <v/>
      </c>
      <c r="Z58" s="2" t="n"/>
    </row>
    <row r="59">
      <c r="A59" s="6">
        <f>IF($G59="","","BUG-"&amp;TEXT(ROW()-1,"000"))</f>
        <v/>
      </c>
      <c r="B59" s="7" t="n"/>
      <c r="C59" s="6" t="n"/>
      <c r="D59" s="6" t="n"/>
      <c r="E59" s="6" t="n"/>
      <c r="F59" s="6" t="n"/>
      <c r="G59" s="6" t="n"/>
      <c r="H59" s="6" t="n"/>
      <c r="I59" s="6" t="n"/>
      <c r="J59" s="6" t="n"/>
      <c r="K59" s="8" t="n"/>
      <c r="L59" s="8" t="n"/>
      <c r="M59" s="6" t="n"/>
      <c r="N59" s="8" t="n"/>
      <c r="O59" s="6" t="n"/>
      <c r="P59" s="7" t="n"/>
      <c r="Q59" s="7" t="n"/>
      <c r="R59" s="9">
        <f>IF(AND($B59&lt;&gt;"",$Q59&lt;&gt;""),$Q59-$B59,"")</f>
        <v/>
      </c>
      <c r="S59" s="6" t="n"/>
      <c r="T59" s="6" t="n"/>
      <c r="U59" s="6" t="n"/>
      <c r="V59" s="8" t="n"/>
      <c r="W59" s="7" t="n"/>
      <c r="X59" s="8" t="n"/>
      <c r="Y59" s="8">
        <f>IF(AND($P59&lt;&gt;"",$Q59="",$P59&lt;TODAY(),OR($N59="Новый",$N59="В работе",$N59="На проверке (QA)",$N59="Отложен")),"ДА","")</f>
        <v/>
      </c>
      <c r="Z59" s="6" t="n"/>
    </row>
    <row r="60">
      <c r="A60" s="2">
        <f>IF($G60="","","BUG-"&amp;TEXT(ROW()-1,"000"))</f>
        <v/>
      </c>
      <c r="B60" s="3" t="n"/>
      <c r="C60" s="2" t="n"/>
      <c r="D60" s="2" t="n"/>
      <c r="E60" s="2" t="n"/>
      <c r="F60" s="2" t="n"/>
      <c r="G60" s="2" t="n"/>
      <c r="H60" s="2" t="n"/>
      <c r="I60" s="2" t="n"/>
      <c r="J60" s="2" t="n"/>
      <c r="K60" s="4" t="n"/>
      <c r="L60" s="4" t="n"/>
      <c r="M60" s="2" t="n"/>
      <c r="N60" s="4" t="n"/>
      <c r="O60" s="2" t="n"/>
      <c r="P60" s="3" t="n"/>
      <c r="Q60" s="3" t="n"/>
      <c r="R60" s="5">
        <f>IF(AND($B60&lt;&gt;"",$Q60&lt;&gt;""),$Q60-$B60,"")</f>
        <v/>
      </c>
      <c r="S60" s="2" t="n"/>
      <c r="T60" s="2" t="n"/>
      <c r="U60" s="2" t="n"/>
      <c r="V60" s="4" t="n"/>
      <c r="W60" s="3" t="n"/>
      <c r="X60" s="4" t="n"/>
      <c r="Y60" s="4">
        <f>IF(AND($P60&lt;&gt;"",$Q60="",$P60&lt;TODAY(),OR($N60="Новый",$N60="В работе",$N60="На проверке (QA)",$N60="Отложен")),"ДА","")</f>
        <v/>
      </c>
      <c r="Z60" s="2" t="n"/>
    </row>
    <row r="61">
      <c r="A61" s="6">
        <f>IF($G61="","","BUG-"&amp;TEXT(ROW()-1,"000"))</f>
        <v/>
      </c>
      <c r="B61" s="7" t="n"/>
      <c r="C61" s="6" t="n"/>
      <c r="D61" s="6" t="n"/>
      <c r="E61" s="6" t="n"/>
      <c r="F61" s="6" t="n"/>
      <c r="G61" s="6" t="n"/>
      <c r="H61" s="6" t="n"/>
      <c r="I61" s="6" t="n"/>
      <c r="J61" s="6" t="n"/>
      <c r="K61" s="8" t="n"/>
      <c r="L61" s="8" t="n"/>
      <c r="M61" s="6" t="n"/>
      <c r="N61" s="8" t="n"/>
      <c r="O61" s="6" t="n"/>
      <c r="P61" s="7" t="n"/>
      <c r="Q61" s="7" t="n"/>
      <c r="R61" s="9">
        <f>IF(AND($B61&lt;&gt;"",$Q61&lt;&gt;""),$Q61-$B61,"")</f>
        <v/>
      </c>
      <c r="S61" s="6" t="n"/>
      <c r="T61" s="6" t="n"/>
      <c r="U61" s="6" t="n"/>
      <c r="V61" s="8" t="n"/>
      <c r="W61" s="7" t="n"/>
      <c r="X61" s="8" t="n"/>
      <c r="Y61" s="8">
        <f>IF(AND($P61&lt;&gt;"",$Q61="",$P61&lt;TODAY(),OR($N61="Новый",$N61="В работе",$N61="На проверке (QA)",$N61="Отложен")),"ДА","")</f>
        <v/>
      </c>
      <c r="Z61" s="6" t="n"/>
    </row>
    <row r="62">
      <c r="A62" s="2">
        <f>IF($G62="","","BUG-"&amp;TEXT(ROW()-1,"000"))</f>
        <v/>
      </c>
      <c r="B62" s="3" t="n"/>
      <c r="C62" s="2" t="n"/>
      <c r="D62" s="2" t="n"/>
      <c r="E62" s="2" t="n"/>
      <c r="F62" s="2" t="n"/>
      <c r="G62" s="2" t="n"/>
      <c r="H62" s="2" t="n"/>
      <c r="I62" s="2" t="n"/>
      <c r="J62" s="2" t="n"/>
      <c r="K62" s="4" t="n"/>
      <c r="L62" s="4" t="n"/>
      <c r="M62" s="2" t="n"/>
      <c r="N62" s="4" t="n"/>
      <c r="O62" s="2" t="n"/>
      <c r="P62" s="3" t="n"/>
      <c r="Q62" s="3" t="n"/>
      <c r="R62" s="5">
        <f>IF(AND($B62&lt;&gt;"",$Q62&lt;&gt;""),$Q62-$B62,"")</f>
        <v/>
      </c>
      <c r="S62" s="2" t="n"/>
      <c r="T62" s="2" t="n"/>
      <c r="U62" s="2" t="n"/>
      <c r="V62" s="4" t="n"/>
      <c r="W62" s="3" t="n"/>
      <c r="X62" s="4" t="n"/>
      <c r="Y62" s="4">
        <f>IF(AND($P62&lt;&gt;"",$Q62="",$P62&lt;TODAY(),OR($N62="Новый",$N62="В работе",$N62="На проверке (QA)",$N62="Отложен")),"ДА","")</f>
        <v/>
      </c>
      <c r="Z62" s="2" t="n"/>
    </row>
    <row r="63">
      <c r="A63" s="6">
        <f>IF($G63="","","BUG-"&amp;TEXT(ROW()-1,"000"))</f>
        <v/>
      </c>
      <c r="B63" s="7" t="n"/>
      <c r="C63" s="6" t="n"/>
      <c r="D63" s="6" t="n"/>
      <c r="E63" s="6" t="n"/>
      <c r="F63" s="6" t="n"/>
      <c r="G63" s="6" t="n"/>
      <c r="H63" s="6" t="n"/>
      <c r="I63" s="6" t="n"/>
      <c r="J63" s="6" t="n"/>
      <c r="K63" s="8" t="n"/>
      <c r="L63" s="8" t="n"/>
      <c r="M63" s="6" t="n"/>
      <c r="N63" s="8" t="n"/>
      <c r="O63" s="6" t="n"/>
      <c r="P63" s="7" t="n"/>
      <c r="Q63" s="7" t="n"/>
      <c r="R63" s="9">
        <f>IF(AND($B63&lt;&gt;"",$Q63&lt;&gt;""),$Q63-$B63,"")</f>
        <v/>
      </c>
      <c r="S63" s="6" t="n"/>
      <c r="T63" s="6" t="n"/>
      <c r="U63" s="6" t="n"/>
      <c r="V63" s="8" t="n"/>
      <c r="W63" s="7" t="n"/>
      <c r="X63" s="8" t="n"/>
      <c r="Y63" s="8">
        <f>IF(AND($P63&lt;&gt;"",$Q63="",$P63&lt;TODAY(),OR($N63="Новый",$N63="В работе",$N63="На проверке (QA)",$N63="Отложен")),"ДА","")</f>
        <v/>
      </c>
      <c r="Z63" s="6" t="n"/>
    </row>
    <row r="64">
      <c r="A64" s="2">
        <f>IF($G64="","","BUG-"&amp;TEXT(ROW()-1,"000"))</f>
        <v/>
      </c>
      <c r="B64" s="3" t="n"/>
      <c r="C64" s="2" t="n"/>
      <c r="D64" s="2" t="n"/>
      <c r="E64" s="2" t="n"/>
      <c r="F64" s="2" t="n"/>
      <c r="G64" s="2" t="n"/>
      <c r="H64" s="2" t="n"/>
      <c r="I64" s="2" t="n"/>
      <c r="J64" s="2" t="n"/>
      <c r="K64" s="4" t="n"/>
      <c r="L64" s="4" t="n"/>
      <c r="M64" s="2" t="n"/>
      <c r="N64" s="4" t="n"/>
      <c r="O64" s="2" t="n"/>
      <c r="P64" s="3" t="n"/>
      <c r="Q64" s="3" t="n"/>
      <c r="R64" s="5">
        <f>IF(AND($B64&lt;&gt;"",$Q64&lt;&gt;""),$Q64-$B64,"")</f>
        <v/>
      </c>
      <c r="S64" s="2" t="n"/>
      <c r="T64" s="2" t="n"/>
      <c r="U64" s="2" t="n"/>
      <c r="V64" s="4" t="n"/>
      <c r="W64" s="3" t="n"/>
      <c r="X64" s="4" t="n"/>
      <c r="Y64" s="4">
        <f>IF(AND($P64&lt;&gt;"",$Q64="",$P64&lt;TODAY(),OR($N64="Новый",$N64="В работе",$N64="На проверке (QA)",$N64="Отложен")),"ДА","")</f>
        <v/>
      </c>
      <c r="Z64" s="2" t="n"/>
    </row>
    <row r="65">
      <c r="A65" s="6">
        <f>IF($G65="","","BUG-"&amp;TEXT(ROW()-1,"000"))</f>
        <v/>
      </c>
      <c r="B65" s="7" t="n"/>
      <c r="C65" s="6" t="n"/>
      <c r="D65" s="6" t="n"/>
      <c r="E65" s="6" t="n"/>
      <c r="F65" s="6" t="n"/>
      <c r="G65" s="6" t="n"/>
      <c r="H65" s="6" t="n"/>
      <c r="I65" s="6" t="n"/>
      <c r="J65" s="6" t="n"/>
      <c r="K65" s="8" t="n"/>
      <c r="L65" s="8" t="n"/>
      <c r="M65" s="6" t="n"/>
      <c r="N65" s="8" t="n"/>
      <c r="O65" s="6" t="n"/>
      <c r="P65" s="7" t="n"/>
      <c r="Q65" s="7" t="n"/>
      <c r="R65" s="9">
        <f>IF(AND($B65&lt;&gt;"",$Q65&lt;&gt;""),$Q65-$B65,"")</f>
        <v/>
      </c>
      <c r="S65" s="6" t="n"/>
      <c r="T65" s="6" t="n"/>
      <c r="U65" s="6" t="n"/>
      <c r="V65" s="8" t="n"/>
      <c r="W65" s="7" t="n"/>
      <c r="X65" s="8" t="n"/>
      <c r="Y65" s="8">
        <f>IF(AND($P65&lt;&gt;"",$Q65="",$P65&lt;TODAY(),OR($N65="Новый",$N65="В работе",$N65="На проверке (QA)",$N65="Отложен")),"ДА","")</f>
        <v/>
      </c>
      <c r="Z65" s="6" t="n"/>
    </row>
    <row r="66">
      <c r="A66" s="2">
        <f>IF($G66="","","BUG-"&amp;TEXT(ROW()-1,"000"))</f>
        <v/>
      </c>
      <c r="B66" s="3" t="n"/>
      <c r="C66" s="2" t="n"/>
      <c r="D66" s="2" t="n"/>
      <c r="E66" s="2" t="n"/>
      <c r="F66" s="2" t="n"/>
      <c r="G66" s="2" t="n"/>
      <c r="H66" s="2" t="n"/>
      <c r="I66" s="2" t="n"/>
      <c r="J66" s="2" t="n"/>
      <c r="K66" s="4" t="n"/>
      <c r="L66" s="4" t="n"/>
      <c r="M66" s="2" t="n"/>
      <c r="N66" s="4" t="n"/>
      <c r="O66" s="2" t="n"/>
      <c r="P66" s="3" t="n"/>
      <c r="Q66" s="3" t="n"/>
      <c r="R66" s="5">
        <f>IF(AND($B66&lt;&gt;"",$Q66&lt;&gt;""),$Q66-$B66,"")</f>
        <v/>
      </c>
      <c r="S66" s="2" t="n"/>
      <c r="T66" s="2" t="n"/>
      <c r="U66" s="2" t="n"/>
      <c r="V66" s="4" t="n"/>
      <c r="W66" s="3" t="n"/>
      <c r="X66" s="4" t="n"/>
      <c r="Y66" s="4">
        <f>IF(AND($P66&lt;&gt;"",$Q66="",$P66&lt;TODAY(),OR($N66="Новый",$N66="В работе",$N66="На проверке (QA)",$N66="Отложен")),"ДА","")</f>
        <v/>
      </c>
      <c r="Z66" s="2" t="n"/>
    </row>
    <row r="67">
      <c r="A67" s="6">
        <f>IF($G67="","","BUG-"&amp;TEXT(ROW()-1,"000"))</f>
        <v/>
      </c>
      <c r="B67" s="7" t="n"/>
      <c r="C67" s="6" t="n"/>
      <c r="D67" s="6" t="n"/>
      <c r="E67" s="6" t="n"/>
      <c r="F67" s="6" t="n"/>
      <c r="G67" s="6" t="n"/>
      <c r="H67" s="6" t="n"/>
      <c r="I67" s="6" t="n"/>
      <c r="J67" s="6" t="n"/>
      <c r="K67" s="8" t="n"/>
      <c r="L67" s="8" t="n"/>
      <c r="M67" s="6" t="n"/>
      <c r="N67" s="8" t="n"/>
      <c r="O67" s="6" t="n"/>
      <c r="P67" s="7" t="n"/>
      <c r="Q67" s="7" t="n"/>
      <c r="R67" s="9">
        <f>IF(AND($B67&lt;&gt;"",$Q67&lt;&gt;""),$Q67-$B67,"")</f>
        <v/>
      </c>
      <c r="S67" s="6" t="n"/>
      <c r="T67" s="6" t="n"/>
      <c r="U67" s="6" t="n"/>
      <c r="V67" s="8" t="n"/>
      <c r="W67" s="7" t="n"/>
      <c r="X67" s="8" t="n"/>
      <c r="Y67" s="8">
        <f>IF(AND($P67&lt;&gt;"",$Q67="",$P67&lt;TODAY(),OR($N67="Новый",$N67="В работе",$N67="На проверке (QA)",$N67="Отложен")),"ДА","")</f>
        <v/>
      </c>
      <c r="Z67" s="6" t="n"/>
    </row>
    <row r="68">
      <c r="A68" s="2">
        <f>IF($G68="","","BUG-"&amp;TEXT(ROW()-1,"000"))</f>
        <v/>
      </c>
      <c r="B68" s="3" t="n"/>
      <c r="C68" s="2" t="n"/>
      <c r="D68" s="2" t="n"/>
      <c r="E68" s="2" t="n"/>
      <c r="F68" s="2" t="n"/>
      <c r="G68" s="2" t="n"/>
      <c r="H68" s="2" t="n"/>
      <c r="I68" s="2" t="n"/>
      <c r="J68" s="2" t="n"/>
      <c r="K68" s="4" t="n"/>
      <c r="L68" s="4" t="n"/>
      <c r="M68" s="2" t="n"/>
      <c r="N68" s="4" t="n"/>
      <c r="O68" s="2" t="n"/>
      <c r="P68" s="3" t="n"/>
      <c r="Q68" s="3" t="n"/>
      <c r="R68" s="5">
        <f>IF(AND($B68&lt;&gt;"",$Q68&lt;&gt;""),$Q68-$B68,"")</f>
        <v/>
      </c>
      <c r="S68" s="2" t="n"/>
      <c r="T68" s="2" t="n"/>
      <c r="U68" s="2" t="n"/>
      <c r="V68" s="4" t="n"/>
      <c r="W68" s="3" t="n"/>
      <c r="X68" s="4" t="n"/>
      <c r="Y68" s="4">
        <f>IF(AND($P68&lt;&gt;"",$Q68="",$P68&lt;TODAY(),OR($N68="Новый",$N68="В работе",$N68="На проверке (QA)",$N68="Отложен")),"ДА","")</f>
        <v/>
      </c>
      <c r="Z68" s="2" t="n"/>
    </row>
    <row r="69">
      <c r="A69" s="6">
        <f>IF($G69="","","BUG-"&amp;TEXT(ROW()-1,"000"))</f>
        <v/>
      </c>
      <c r="B69" s="7" t="n"/>
      <c r="C69" s="6" t="n"/>
      <c r="D69" s="6" t="n"/>
      <c r="E69" s="6" t="n"/>
      <c r="F69" s="6" t="n"/>
      <c r="G69" s="6" t="n"/>
      <c r="H69" s="6" t="n"/>
      <c r="I69" s="6" t="n"/>
      <c r="J69" s="6" t="n"/>
      <c r="K69" s="8" t="n"/>
      <c r="L69" s="8" t="n"/>
      <c r="M69" s="6" t="n"/>
      <c r="N69" s="8" t="n"/>
      <c r="O69" s="6" t="n"/>
      <c r="P69" s="7" t="n"/>
      <c r="Q69" s="7" t="n"/>
      <c r="R69" s="9">
        <f>IF(AND($B69&lt;&gt;"",$Q69&lt;&gt;""),$Q69-$B69,"")</f>
        <v/>
      </c>
      <c r="S69" s="6" t="n"/>
      <c r="T69" s="6" t="n"/>
      <c r="U69" s="6" t="n"/>
      <c r="V69" s="8" t="n"/>
      <c r="W69" s="7" t="n"/>
      <c r="X69" s="8" t="n"/>
      <c r="Y69" s="8">
        <f>IF(AND($P69&lt;&gt;"",$Q69="",$P69&lt;TODAY(),OR($N69="Новый",$N69="В работе",$N69="На проверке (QA)",$N69="Отложен")),"ДА","")</f>
        <v/>
      </c>
      <c r="Z69" s="6" t="n"/>
    </row>
    <row r="70">
      <c r="A70" s="2">
        <f>IF($G70="","","BUG-"&amp;TEXT(ROW()-1,"000"))</f>
        <v/>
      </c>
      <c r="B70" s="3" t="n"/>
      <c r="C70" s="2" t="n"/>
      <c r="D70" s="2" t="n"/>
      <c r="E70" s="2" t="n"/>
      <c r="F70" s="2" t="n"/>
      <c r="G70" s="2" t="n"/>
      <c r="H70" s="2" t="n"/>
      <c r="I70" s="2" t="n"/>
      <c r="J70" s="2" t="n"/>
      <c r="K70" s="4" t="n"/>
      <c r="L70" s="4" t="n"/>
      <c r="M70" s="2" t="n"/>
      <c r="N70" s="4" t="n"/>
      <c r="O70" s="2" t="n"/>
      <c r="P70" s="3" t="n"/>
      <c r="Q70" s="3" t="n"/>
      <c r="R70" s="5">
        <f>IF(AND($B70&lt;&gt;"",$Q70&lt;&gt;""),$Q70-$B70,"")</f>
        <v/>
      </c>
      <c r="S70" s="2" t="n"/>
      <c r="T70" s="2" t="n"/>
      <c r="U70" s="2" t="n"/>
      <c r="V70" s="4" t="n"/>
      <c r="W70" s="3" t="n"/>
      <c r="X70" s="4" t="n"/>
      <c r="Y70" s="4">
        <f>IF(AND($P70&lt;&gt;"",$Q70="",$P70&lt;TODAY(),OR($N70="Новый",$N70="В работе",$N70="На проверке (QA)",$N70="Отложен")),"ДА","")</f>
        <v/>
      </c>
      <c r="Z70" s="2" t="n"/>
    </row>
    <row r="71">
      <c r="A71" s="6">
        <f>IF($G71="","","BUG-"&amp;TEXT(ROW()-1,"000"))</f>
        <v/>
      </c>
      <c r="B71" s="7" t="n"/>
      <c r="C71" s="6" t="n"/>
      <c r="D71" s="6" t="n"/>
      <c r="E71" s="6" t="n"/>
      <c r="F71" s="6" t="n"/>
      <c r="G71" s="6" t="n"/>
      <c r="H71" s="6" t="n"/>
      <c r="I71" s="6" t="n"/>
      <c r="J71" s="6" t="n"/>
      <c r="K71" s="8" t="n"/>
      <c r="L71" s="8" t="n"/>
      <c r="M71" s="6" t="n"/>
      <c r="N71" s="8" t="n"/>
      <c r="O71" s="6" t="n"/>
      <c r="P71" s="7" t="n"/>
      <c r="Q71" s="7" t="n"/>
      <c r="R71" s="9">
        <f>IF(AND($B71&lt;&gt;"",$Q71&lt;&gt;""),$Q71-$B71,"")</f>
        <v/>
      </c>
      <c r="S71" s="6" t="n"/>
      <c r="T71" s="6" t="n"/>
      <c r="U71" s="6" t="n"/>
      <c r="V71" s="8" t="n"/>
      <c r="W71" s="7" t="n"/>
      <c r="X71" s="8" t="n"/>
      <c r="Y71" s="8">
        <f>IF(AND($P71&lt;&gt;"",$Q71="",$P71&lt;TODAY(),OR($N71="Новый",$N71="В работе",$N71="На проверке (QA)",$N71="Отложен")),"ДА","")</f>
        <v/>
      </c>
      <c r="Z71" s="6" t="n"/>
    </row>
    <row r="72">
      <c r="A72" s="2">
        <f>IF($G72="","","BUG-"&amp;TEXT(ROW()-1,"000"))</f>
        <v/>
      </c>
      <c r="B72" s="3" t="n"/>
      <c r="C72" s="2" t="n"/>
      <c r="D72" s="2" t="n"/>
      <c r="E72" s="2" t="n"/>
      <c r="F72" s="2" t="n"/>
      <c r="G72" s="2" t="n"/>
      <c r="H72" s="2" t="n"/>
      <c r="I72" s="2" t="n"/>
      <c r="J72" s="2" t="n"/>
      <c r="K72" s="4" t="n"/>
      <c r="L72" s="4" t="n"/>
      <c r="M72" s="2" t="n"/>
      <c r="N72" s="4" t="n"/>
      <c r="O72" s="2" t="n"/>
      <c r="P72" s="3" t="n"/>
      <c r="Q72" s="3" t="n"/>
      <c r="R72" s="5">
        <f>IF(AND($B72&lt;&gt;"",$Q72&lt;&gt;""),$Q72-$B72,"")</f>
        <v/>
      </c>
      <c r="S72" s="2" t="n"/>
      <c r="T72" s="2" t="n"/>
      <c r="U72" s="2" t="n"/>
      <c r="V72" s="4" t="n"/>
      <c r="W72" s="3" t="n"/>
      <c r="X72" s="4" t="n"/>
      <c r="Y72" s="4">
        <f>IF(AND($P72&lt;&gt;"",$Q72="",$P72&lt;TODAY(),OR($N72="Новый",$N72="В работе",$N72="На проверке (QA)",$N72="Отложен")),"ДА","")</f>
        <v/>
      </c>
      <c r="Z72" s="2" t="n"/>
    </row>
    <row r="73">
      <c r="A73" s="6">
        <f>IF($G73="","","BUG-"&amp;TEXT(ROW()-1,"000"))</f>
        <v/>
      </c>
      <c r="B73" s="7" t="n"/>
      <c r="C73" s="6" t="n"/>
      <c r="D73" s="6" t="n"/>
      <c r="E73" s="6" t="n"/>
      <c r="F73" s="6" t="n"/>
      <c r="G73" s="6" t="n"/>
      <c r="H73" s="6" t="n"/>
      <c r="I73" s="6" t="n"/>
      <c r="J73" s="6" t="n"/>
      <c r="K73" s="8" t="n"/>
      <c r="L73" s="8" t="n"/>
      <c r="M73" s="6" t="n"/>
      <c r="N73" s="8" t="n"/>
      <c r="O73" s="6" t="n"/>
      <c r="P73" s="7" t="n"/>
      <c r="Q73" s="7" t="n"/>
      <c r="R73" s="9">
        <f>IF(AND($B73&lt;&gt;"",$Q73&lt;&gt;""),$Q73-$B73,"")</f>
        <v/>
      </c>
      <c r="S73" s="6" t="n"/>
      <c r="T73" s="6" t="n"/>
      <c r="U73" s="6" t="n"/>
      <c r="V73" s="8" t="n"/>
      <c r="W73" s="7" t="n"/>
      <c r="X73" s="8" t="n"/>
      <c r="Y73" s="8">
        <f>IF(AND($P73&lt;&gt;"",$Q73="",$P73&lt;TODAY(),OR($N73="Новый",$N73="В работе",$N73="На проверке (QA)",$N73="Отложен")),"ДА","")</f>
        <v/>
      </c>
      <c r="Z73" s="6" t="n"/>
    </row>
    <row r="74">
      <c r="A74" s="2">
        <f>IF($G74="","","BUG-"&amp;TEXT(ROW()-1,"000"))</f>
        <v/>
      </c>
      <c r="B74" s="3" t="n"/>
      <c r="C74" s="2" t="n"/>
      <c r="D74" s="2" t="n"/>
      <c r="E74" s="2" t="n"/>
      <c r="F74" s="2" t="n"/>
      <c r="G74" s="2" t="n"/>
      <c r="H74" s="2" t="n"/>
      <c r="I74" s="2" t="n"/>
      <c r="J74" s="2" t="n"/>
      <c r="K74" s="4" t="n"/>
      <c r="L74" s="4" t="n"/>
      <c r="M74" s="2" t="n"/>
      <c r="N74" s="4" t="n"/>
      <c r="O74" s="2" t="n"/>
      <c r="P74" s="3" t="n"/>
      <c r="Q74" s="3" t="n"/>
      <c r="R74" s="5">
        <f>IF(AND($B74&lt;&gt;"",$Q74&lt;&gt;""),$Q74-$B74,"")</f>
        <v/>
      </c>
      <c r="S74" s="2" t="n"/>
      <c r="T74" s="2" t="n"/>
      <c r="U74" s="2" t="n"/>
      <c r="V74" s="4" t="n"/>
      <c r="W74" s="3" t="n"/>
      <c r="X74" s="4" t="n"/>
      <c r="Y74" s="4">
        <f>IF(AND($P74&lt;&gt;"",$Q74="",$P74&lt;TODAY(),OR($N74="Новый",$N74="В работе",$N74="На проверке (QA)",$N74="Отложен")),"ДА","")</f>
        <v/>
      </c>
      <c r="Z74" s="2" t="n"/>
    </row>
    <row r="75">
      <c r="A75" s="6">
        <f>IF($G75="","","BUG-"&amp;TEXT(ROW()-1,"000"))</f>
        <v/>
      </c>
      <c r="B75" s="7" t="n"/>
      <c r="C75" s="6" t="n"/>
      <c r="D75" s="6" t="n"/>
      <c r="E75" s="6" t="n"/>
      <c r="F75" s="6" t="n"/>
      <c r="G75" s="6" t="n"/>
      <c r="H75" s="6" t="n"/>
      <c r="I75" s="6" t="n"/>
      <c r="J75" s="6" t="n"/>
      <c r="K75" s="8" t="n"/>
      <c r="L75" s="8" t="n"/>
      <c r="M75" s="6" t="n"/>
      <c r="N75" s="8" t="n"/>
      <c r="O75" s="6" t="n"/>
      <c r="P75" s="7" t="n"/>
      <c r="Q75" s="7" t="n"/>
      <c r="R75" s="9">
        <f>IF(AND($B75&lt;&gt;"",$Q75&lt;&gt;""),$Q75-$B75,"")</f>
        <v/>
      </c>
      <c r="S75" s="6" t="n"/>
      <c r="T75" s="6" t="n"/>
      <c r="U75" s="6" t="n"/>
      <c r="V75" s="8" t="n"/>
      <c r="W75" s="7" t="n"/>
      <c r="X75" s="8" t="n"/>
      <c r="Y75" s="8">
        <f>IF(AND($P75&lt;&gt;"",$Q75="",$P75&lt;TODAY(),OR($N75="Новый",$N75="В работе",$N75="На проверке (QA)",$N75="Отложен")),"ДА","")</f>
        <v/>
      </c>
      <c r="Z75" s="6" t="n"/>
    </row>
    <row r="76">
      <c r="A76" s="2">
        <f>IF($G76="","","BUG-"&amp;TEXT(ROW()-1,"000"))</f>
        <v/>
      </c>
      <c r="B76" s="3" t="n"/>
      <c r="C76" s="2" t="n"/>
      <c r="D76" s="2" t="n"/>
      <c r="E76" s="2" t="n"/>
      <c r="F76" s="2" t="n"/>
      <c r="G76" s="2" t="n"/>
      <c r="H76" s="2" t="n"/>
      <c r="I76" s="2" t="n"/>
      <c r="J76" s="2" t="n"/>
      <c r="K76" s="4" t="n"/>
      <c r="L76" s="4" t="n"/>
      <c r="M76" s="2" t="n"/>
      <c r="N76" s="4" t="n"/>
      <c r="O76" s="2" t="n"/>
      <c r="P76" s="3" t="n"/>
      <c r="Q76" s="3" t="n"/>
      <c r="R76" s="5">
        <f>IF(AND($B76&lt;&gt;"",$Q76&lt;&gt;""),$Q76-$B76,"")</f>
        <v/>
      </c>
      <c r="S76" s="2" t="n"/>
      <c r="T76" s="2" t="n"/>
      <c r="U76" s="2" t="n"/>
      <c r="V76" s="4" t="n"/>
      <c r="W76" s="3" t="n"/>
      <c r="X76" s="4" t="n"/>
      <c r="Y76" s="4">
        <f>IF(AND($P76&lt;&gt;"",$Q76="",$P76&lt;TODAY(),OR($N76="Новый",$N76="В работе",$N76="На проверке (QA)",$N76="Отложен")),"ДА","")</f>
        <v/>
      </c>
      <c r="Z76" s="2" t="n"/>
    </row>
    <row r="77">
      <c r="A77" s="6">
        <f>IF($G77="","","BUG-"&amp;TEXT(ROW()-1,"000"))</f>
        <v/>
      </c>
      <c r="B77" s="7" t="n"/>
      <c r="C77" s="6" t="n"/>
      <c r="D77" s="6" t="n"/>
      <c r="E77" s="6" t="n"/>
      <c r="F77" s="6" t="n"/>
      <c r="G77" s="6" t="n"/>
      <c r="H77" s="6" t="n"/>
      <c r="I77" s="6" t="n"/>
      <c r="J77" s="6" t="n"/>
      <c r="K77" s="8" t="n"/>
      <c r="L77" s="8" t="n"/>
      <c r="M77" s="6" t="n"/>
      <c r="N77" s="8" t="n"/>
      <c r="O77" s="6" t="n"/>
      <c r="P77" s="7" t="n"/>
      <c r="Q77" s="7" t="n"/>
      <c r="R77" s="9">
        <f>IF(AND($B77&lt;&gt;"",$Q77&lt;&gt;""),$Q77-$B77,"")</f>
        <v/>
      </c>
      <c r="S77" s="6" t="n"/>
      <c r="T77" s="6" t="n"/>
      <c r="U77" s="6" t="n"/>
      <c r="V77" s="8" t="n"/>
      <c r="W77" s="7" t="n"/>
      <c r="X77" s="8" t="n"/>
      <c r="Y77" s="8">
        <f>IF(AND($P77&lt;&gt;"",$Q77="",$P77&lt;TODAY(),OR($N77="Новый",$N77="В работе",$N77="На проверке (QA)",$N77="Отложен")),"ДА","")</f>
        <v/>
      </c>
      <c r="Z77" s="6" t="n"/>
    </row>
    <row r="78">
      <c r="A78" s="2">
        <f>IF($G78="","","BUG-"&amp;TEXT(ROW()-1,"000"))</f>
        <v/>
      </c>
      <c r="B78" s="3" t="n"/>
      <c r="C78" s="2" t="n"/>
      <c r="D78" s="2" t="n"/>
      <c r="E78" s="2" t="n"/>
      <c r="F78" s="2" t="n"/>
      <c r="G78" s="2" t="n"/>
      <c r="H78" s="2" t="n"/>
      <c r="I78" s="2" t="n"/>
      <c r="J78" s="2" t="n"/>
      <c r="K78" s="4" t="n"/>
      <c r="L78" s="4" t="n"/>
      <c r="M78" s="2" t="n"/>
      <c r="N78" s="4" t="n"/>
      <c r="O78" s="2" t="n"/>
      <c r="P78" s="3" t="n"/>
      <c r="Q78" s="3" t="n"/>
      <c r="R78" s="5">
        <f>IF(AND($B78&lt;&gt;"",$Q78&lt;&gt;""),$Q78-$B78,"")</f>
        <v/>
      </c>
      <c r="S78" s="2" t="n"/>
      <c r="T78" s="2" t="n"/>
      <c r="U78" s="2" t="n"/>
      <c r="V78" s="4" t="n"/>
      <c r="W78" s="3" t="n"/>
      <c r="X78" s="4" t="n"/>
      <c r="Y78" s="4">
        <f>IF(AND($P78&lt;&gt;"",$Q78="",$P78&lt;TODAY(),OR($N78="Новый",$N78="В работе",$N78="На проверке (QA)",$N78="Отложен")),"ДА","")</f>
        <v/>
      </c>
      <c r="Z78" s="2" t="n"/>
    </row>
    <row r="79">
      <c r="A79" s="6">
        <f>IF($G79="","","BUG-"&amp;TEXT(ROW()-1,"000"))</f>
        <v/>
      </c>
      <c r="B79" s="7" t="n"/>
      <c r="C79" s="6" t="n"/>
      <c r="D79" s="6" t="n"/>
      <c r="E79" s="6" t="n"/>
      <c r="F79" s="6" t="n"/>
      <c r="G79" s="6" t="n"/>
      <c r="H79" s="6" t="n"/>
      <c r="I79" s="6" t="n"/>
      <c r="J79" s="6" t="n"/>
      <c r="K79" s="8" t="n"/>
      <c r="L79" s="8" t="n"/>
      <c r="M79" s="6" t="n"/>
      <c r="N79" s="8" t="n"/>
      <c r="O79" s="6" t="n"/>
      <c r="P79" s="7" t="n"/>
      <c r="Q79" s="7" t="n"/>
      <c r="R79" s="9">
        <f>IF(AND($B79&lt;&gt;"",$Q79&lt;&gt;""),$Q79-$B79,"")</f>
        <v/>
      </c>
      <c r="S79" s="6" t="n"/>
      <c r="T79" s="6" t="n"/>
      <c r="U79" s="6" t="n"/>
      <c r="V79" s="8" t="n"/>
      <c r="W79" s="7" t="n"/>
      <c r="X79" s="8" t="n"/>
      <c r="Y79" s="8">
        <f>IF(AND($P79&lt;&gt;"",$Q79="",$P79&lt;TODAY(),OR($N79="Новый",$N79="В работе",$N79="На проверке (QA)",$N79="Отложен")),"ДА","")</f>
        <v/>
      </c>
      <c r="Z79" s="6" t="n"/>
    </row>
    <row r="80">
      <c r="A80" s="2">
        <f>IF($G80="","","BUG-"&amp;TEXT(ROW()-1,"000"))</f>
        <v/>
      </c>
      <c r="B80" s="3" t="n"/>
      <c r="C80" s="2" t="n"/>
      <c r="D80" s="2" t="n"/>
      <c r="E80" s="2" t="n"/>
      <c r="F80" s="2" t="n"/>
      <c r="G80" s="2" t="n"/>
      <c r="H80" s="2" t="n"/>
      <c r="I80" s="2" t="n"/>
      <c r="J80" s="2" t="n"/>
      <c r="K80" s="4" t="n"/>
      <c r="L80" s="4" t="n"/>
      <c r="M80" s="2" t="n"/>
      <c r="N80" s="4" t="n"/>
      <c r="O80" s="2" t="n"/>
      <c r="P80" s="3" t="n"/>
      <c r="Q80" s="3" t="n"/>
      <c r="R80" s="5">
        <f>IF(AND($B80&lt;&gt;"",$Q80&lt;&gt;""),$Q80-$B80,"")</f>
        <v/>
      </c>
      <c r="S80" s="2" t="n"/>
      <c r="T80" s="2" t="n"/>
      <c r="U80" s="2" t="n"/>
      <c r="V80" s="4" t="n"/>
      <c r="W80" s="3" t="n"/>
      <c r="X80" s="4" t="n"/>
      <c r="Y80" s="4">
        <f>IF(AND($P80&lt;&gt;"",$Q80="",$P80&lt;TODAY(),OR($N80="Новый",$N80="В работе",$N80="На проверке (QA)",$N80="Отложен")),"ДА","")</f>
        <v/>
      </c>
      <c r="Z80" s="2" t="n"/>
    </row>
    <row r="81">
      <c r="A81" s="6">
        <f>IF($G81="","","BUG-"&amp;TEXT(ROW()-1,"000"))</f>
        <v/>
      </c>
      <c r="B81" s="7" t="n"/>
      <c r="C81" s="6" t="n"/>
      <c r="D81" s="6" t="n"/>
      <c r="E81" s="6" t="n"/>
      <c r="F81" s="6" t="n"/>
      <c r="G81" s="6" t="n"/>
      <c r="H81" s="6" t="n"/>
      <c r="I81" s="6" t="n"/>
      <c r="J81" s="6" t="n"/>
      <c r="K81" s="8" t="n"/>
      <c r="L81" s="8" t="n"/>
      <c r="M81" s="6" t="n"/>
      <c r="N81" s="8" t="n"/>
      <c r="O81" s="6" t="n"/>
      <c r="P81" s="7" t="n"/>
      <c r="Q81" s="7" t="n"/>
      <c r="R81" s="9">
        <f>IF(AND($B81&lt;&gt;"",$Q81&lt;&gt;""),$Q81-$B81,"")</f>
        <v/>
      </c>
      <c r="S81" s="6" t="n"/>
      <c r="T81" s="6" t="n"/>
      <c r="U81" s="6" t="n"/>
      <c r="V81" s="8" t="n"/>
      <c r="W81" s="7" t="n"/>
      <c r="X81" s="8" t="n"/>
      <c r="Y81" s="8">
        <f>IF(AND($P81&lt;&gt;"",$Q81="",$P81&lt;TODAY(),OR($N81="Новый",$N81="В работе",$N81="На проверке (QA)",$N81="Отложен")),"ДА","")</f>
        <v/>
      </c>
      <c r="Z81" s="6" t="n"/>
    </row>
    <row r="82">
      <c r="A82" s="2">
        <f>IF($G82="","","BUG-"&amp;TEXT(ROW()-1,"000"))</f>
        <v/>
      </c>
      <c r="B82" s="3" t="n"/>
      <c r="C82" s="2" t="n"/>
      <c r="D82" s="2" t="n"/>
      <c r="E82" s="2" t="n"/>
      <c r="F82" s="2" t="n"/>
      <c r="G82" s="2" t="n"/>
      <c r="H82" s="2" t="n"/>
      <c r="I82" s="2" t="n"/>
      <c r="J82" s="2" t="n"/>
      <c r="K82" s="4" t="n"/>
      <c r="L82" s="4" t="n"/>
      <c r="M82" s="2" t="n"/>
      <c r="N82" s="4" t="n"/>
      <c r="O82" s="2" t="n"/>
      <c r="P82" s="3" t="n"/>
      <c r="Q82" s="3" t="n"/>
      <c r="R82" s="5">
        <f>IF(AND($B82&lt;&gt;"",$Q82&lt;&gt;""),$Q82-$B82,"")</f>
        <v/>
      </c>
      <c r="S82" s="2" t="n"/>
      <c r="T82" s="2" t="n"/>
      <c r="U82" s="2" t="n"/>
      <c r="V82" s="4" t="n"/>
      <c r="W82" s="3" t="n"/>
      <c r="X82" s="4" t="n"/>
      <c r="Y82" s="4">
        <f>IF(AND($P82&lt;&gt;"",$Q82="",$P82&lt;TODAY(),OR($N82="Новый",$N82="В работе",$N82="На проверке (QA)",$N82="Отложен")),"ДА","")</f>
        <v/>
      </c>
      <c r="Z82" s="2" t="n"/>
    </row>
    <row r="83">
      <c r="A83" s="6">
        <f>IF($G83="","","BUG-"&amp;TEXT(ROW()-1,"000"))</f>
        <v/>
      </c>
      <c r="B83" s="7" t="n"/>
      <c r="C83" s="6" t="n"/>
      <c r="D83" s="6" t="n"/>
      <c r="E83" s="6" t="n"/>
      <c r="F83" s="6" t="n"/>
      <c r="G83" s="6" t="n"/>
      <c r="H83" s="6" t="n"/>
      <c r="I83" s="6" t="n"/>
      <c r="J83" s="6" t="n"/>
      <c r="K83" s="8" t="n"/>
      <c r="L83" s="8" t="n"/>
      <c r="M83" s="6" t="n"/>
      <c r="N83" s="8" t="n"/>
      <c r="O83" s="6" t="n"/>
      <c r="P83" s="7" t="n"/>
      <c r="Q83" s="7" t="n"/>
      <c r="R83" s="9">
        <f>IF(AND($B83&lt;&gt;"",$Q83&lt;&gt;""),$Q83-$B83,"")</f>
        <v/>
      </c>
      <c r="S83" s="6" t="n"/>
      <c r="T83" s="6" t="n"/>
      <c r="U83" s="6" t="n"/>
      <c r="V83" s="8" t="n"/>
      <c r="W83" s="7" t="n"/>
      <c r="X83" s="8" t="n"/>
      <c r="Y83" s="8">
        <f>IF(AND($P83&lt;&gt;"",$Q83="",$P83&lt;TODAY(),OR($N83="Новый",$N83="В работе",$N83="На проверке (QA)",$N83="Отложен")),"ДА","")</f>
        <v/>
      </c>
      <c r="Z83" s="6" t="n"/>
    </row>
    <row r="84">
      <c r="A84" s="2">
        <f>IF($G84="","","BUG-"&amp;TEXT(ROW()-1,"000"))</f>
        <v/>
      </c>
      <c r="B84" s="3" t="n"/>
      <c r="C84" s="2" t="n"/>
      <c r="D84" s="2" t="n"/>
      <c r="E84" s="2" t="n"/>
      <c r="F84" s="2" t="n"/>
      <c r="G84" s="2" t="n"/>
      <c r="H84" s="2" t="n"/>
      <c r="I84" s="2" t="n"/>
      <c r="J84" s="2" t="n"/>
      <c r="K84" s="4" t="n"/>
      <c r="L84" s="4" t="n"/>
      <c r="M84" s="2" t="n"/>
      <c r="N84" s="4" t="n"/>
      <c r="O84" s="2" t="n"/>
      <c r="P84" s="3" t="n"/>
      <c r="Q84" s="3" t="n"/>
      <c r="R84" s="5">
        <f>IF(AND($B84&lt;&gt;"",$Q84&lt;&gt;""),$Q84-$B84,"")</f>
        <v/>
      </c>
      <c r="S84" s="2" t="n"/>
      <c r="T84" s="2" t="n"/>
      <c r="U84" s="2" t="n"/>
      <c r="V84" s="4" t="n"/>
      <c r="W84" s="3" t="n"/>
      <c r="X84" s="4" t="n"/>
      <c r="Y84" s="4">
        <f>IF(AND($P84&lt;&gt;"",$Q84="",$P84&lt;TODAY(),OR($N84="Новый",$N84="В работе",$N84="На проверке (QA)",$N84="Отложен")),"ДА","")</f>
        <v/>
      </c>
      <c r="Z84" s="2" t="n"/>
    </row>
    <row r="85">
      <c r="A85" s="6">
        <f>IF($G85="","","BUG-"&amp;TEXT(ROW()-1,"000"))</f>
        <v/>
      </c>
      <c r="B85" s="7" t="n"/>
      <c r="C85" s="6" t="n"/>
      <c r="D85" s="6" t="n"/>
      <c r="E85" s="6" t="n"/>
      <c r="F85" s="6" t="n"/>
      <c r="G85" s="6" t="n"/>
      <c r="H85" s="6" t="n"/>
      <c r="I85" s="6" t="n"/>
      <c r="J85" s="6" t="n"/>
      <c r="K85" s="8" t="n"/>
      <c r="L85" s="8" t="n"/>
      <c r="M85" s="6" t="n"/>
      <c r="N85" s="8" t="n"/>
      <c r="O85" s="6" t="n"/>
      <c r="P85" s="7" t="n"/>
      <c r="Q85" s="7" t="n"/>
      <c r="R85" s="9">
        <f>IF(AND($B85&lt;&gt;"",$Q85&lt;&gt;""),$Q85-$B85,"")</f>
        <v/>
      </c>
      <c r="S85" s="6" t="n"/>
      <c r="T85" s="6" t="n"/>
      <c r="U85" s="6" t="n"/>
      <c r="V85" s="8" t="n"/>
      <c r="W85" s="7" t="n"/>
      <c r="X85" s="8" t="n"/>
      <c r="Y85" s="8">
        <f>IF(AND($P85&lt;&gt;"",$Q85="",$P85&lt;TODAY(),OR($N85="Новый",$N85="В работе",$N85="На проверке (QA)",$N85="Отложен")),"ДА","")</f>
        <v/>
      </c>
      <c r="Z85" s="6" t="n"/>
    </row>
    <row r="86">
      <c r="A86" s="2">
        <f>IF($G86="","","BUG-"&amp;TEXT(ROW()-1,"000"))</f>
        <v/>
      </c>
      <c r="B86" s="3" t="n"/>
      <c r="C86" s="2" t="n"/>
      <c r="D86" s="2" t="n"/>
      <c r="E86" s="2" t="n"/>
      <c r="F86" s="2" t="n"/>
      <c r="G86" s="2" t="n"/>
      <c r="H86" s="2" t="n"/>
      <c r="I86" s="2" t="n"/>
      <c r="J86" s="2" t="n"/>
      <c r="K86" s="4" t="n"/>
      <c r="L86" s="4" t="n"/>
      <c r="M86" s="2" t="n"/>
      <c r="N86" s="4" t="n"/>
      <c r="O86" s="2" t="n"/>
      <c r="P86" s="3" t="n"/>
      <c r="Q86" s="3" t="n"/>
      <c r="R86" s="5">
        <f>IF(AND($B86&lt;&gt;"",$Q86&lt;&gt;""),$Q86-$B86,"")</f>
        <v/>
      </c>
      <c r="S86" s="2" t="n"/>
      <c r="T86" s="2" t="n"/>
      <c r="U86" s="2" t="n"/>
      <c r="V86" s="4" t="n"/>
      <c r="W86" s="3" t="n"/>
      <c r="X86" s="4" t="n"/>
      <c r="Y86" s="4">
        <f>IF(AND($P86&lt;&gt;"",$Q86="",$P86&lt;TODAY(),OR($N86="Новый",$N86="В работе",$N86="На проверке (QA)",$N86="Отложен")),"ДА","")</f>
        <v/>
      </c>
      <c r="Z86" s="2" t="n"/>
    </row>
    <row r="87">
      <c r="A87" s="6">
        <f>IF($G87="","","BUG-"&amp;TEXT(ROW()-1,"000"))</f>
        <v/>
      </c>
      <c r="B87" s="7" t="n"/>
      <c r="C87" s="6" t="n"/>
      <c r="D87" s="6" t="n"/>
      <c r="E87" s="6" t="n"/>
      <c r="F87" s="6" t="n"/>
      <c r="G87" s="6" t="n"/>
      <c r="H87" s="6" t="n"/>
      <c r="I87" s="6" t="n"/>
      <c r="J87" s="6" t="n"/>
      <c r="K87" s="8" t="n"/>
      <c r="L87" s="8" t="n"/>
      <c r="M87" s="6" t="n"/>
      <c r="N87" s="8" t="n"/>
      <c r="O87" s="6" t="n"/>
      <c r="P87" s="7" t="n"/>
      <c r="Q87" s="7" t="n"/>
      <c r="R87" s="9">
        <f>IF(AND($B87&lt;&gt;"",$Q87&lt;&gt;""),$Q87-$B87,"")</f>
        <v/>
      </c>
      <c r="S87" s="6" t="n"/>
      <c r="T87" s="6" t="n"/>
      <c r="U87" s="6" t="n"/>
      <c r="V87" s="8" t="n"/>
      <c r="W87" s="7" t="n"/>
      <c r="X87" s="8" t="n"/>
      <c r="Y87" s="8">
        <f>IF(AND($P87&lt;&gt;"",$Q87="",$P87&lt;TODAY(),OR($N87="Новый",$N87="В работе",$N87="На проверке (QA)",$N87="Отложен")),"ДА","")</f>
        <v/>
      </c>
      <c r="Z87" s="6" t="n"/>
    </row>
    <row r="88">
      <c r="A88" s="2">
        <f>IF($G88="","","BUG-"&amp;TEXT(ROW()-1,"000"))</f>
        <v/>
      </c>
      <c r="B88" s="3" t="n"/>
      <c r="C88" s="2" t="n"/>
      <c r="D88" s="2" t="n"/>
      <c r="E88" s="2" t="n"/>
      <c r="F88" s="2" t="n"/>
      <c r="G88" s="2" t="n"/>
      <c r="H88" s="2" t="n"/>
      <c r="I88" s="2" t="n"/>
      <c r="J88" s="2" t="n"/>
      <c r="K88" s="4" t="n"/>
      <c r="L88" s="4" t="n"/>
      <c r="M88" s="2" t="n"/>
      <c r="N88" s="4" t="n"/>
      <c r="O88" s="2" t="n"/>
      <c r="P88" s="3" t="n"/>
      <c r="Q88" s="3" t="n"/>
      <c r="R88" s="5">
        <f>IF(AND($B88&lt;&gt;"",$Q88&lt;&gt;""),$Q88-$B88,"")</f>
        <v/>
      </c>
      <c r="S88" s="2" t="n"/>
      <c r="T88" s="2" t="n"/>
      <c r="U88" s="2" t="n"/>
      <c r="V88" s="4" t="n"/>
      <c r="W88" s="3" t="n"/>
      <c r="X88" s="4" t="n"/>
      <c r="Y88" s="4">
        <f>IF(AND($P88&lt;&gt;"",$Q88="",$P88&lt;TODAY(),OR($N88="Новый",$N88="В работе",$N88="На проверке (QA)",$N88="Отложен")),"ДА","")</f>
        <v/>
      </c>
      <c r="Z88" s="2" t="n"/>
    </row>
    <row r="89">
      <c r="A89" s="6">
        <f>IF($G89="","","BUG-"&amp;TEXT(ROW()-1,"000"))</f>
        <v/>
      </c>
      <c r="B89" s="7" t="n"/>
      <c r="C89" s="6" t="n"/>
      <c r="D89" s="6" t="n"/>
      <c r="E89" s="6" t="n"/>
      <c r="F89" s="6" t="n"/>
      <c r="G89" s="6" t="n"/>
      <c r="H89" s="6" t="n"/>
      <c r="I89" s="6" t="n"/>
      <c r="J89" s="6" t="n"/>
      <c r="K89" s="8" t="n"/>
      <c r="L89" s="8" t="n"/>
      <c r="M89" s="6" t="n"/>
      <c r="N89" s="8" t="n"/>
      <c r="O89" s="6" t="n"/>
      <c r="P89" s="7" t="n"/>
      <c r="Q89" s="7" t="n"/>
      <c r="R89" s="9">
        <f>IF(AND($B89&lt;&gt;"",$Q89&lt;&gt;""),$Q89-$B89,"")</f>
        <v/>
      </c>
      <c r="S89" s="6" t="n"/>
      <c r="T89" s="6" t="n"/>
      <c r="U89" s="6" t="n"/>
      <c r="V89" s="8" t="n"/>
      <c r="W89" s="7" t="n"/>
      <c r="X89" s="8" t="n"/>
      <c r="Y89" s="8">
        <f>IF(AND($P89&lt;&gt;"",$Q89="",$P89&lt;TODAY(),OR($N89="Новый",$N89="В работе",$N89="На проверке (QA)",$N89="Отложен")),"ДА","")</f>
        <v/>
      </c>
      <c r="Z89" s="6" t="n"/>
    </row>
    <row r="90">
      <c r="A90" s="2">
        <f>IF($G90="","","BUG-"&amp;TEXT(ROW()-1,"000"))</f>
        <v/>
      </c>
      <c r="B90" s="3" t="n"/>
      <c r="C90" s="2" t="n"/>
      <c r="D90" s="2" t="n"/>
      <c r="E90" s="2" t="n"/>
      <c r="F90" s="2" t="n"/>
      <c r="G90" s="2" t="n"/>
      <c r="H90" s="2" t="n"/>
      <c r="I90" s="2" t="n"/>
      <c r="J90" s="2" t="n"/>
      <c r="K90" s="4" t="n"/>
      <c r="L90" s="4" t="n"/>
      <c r="M90" s="2" t="n"/>
      <c r="N90" s="4" t="n"/>
      <c r="O90" s="2" t="n"/>
      <c r="P90" s="3" t="n"/>
      <c r="Q90" s="3" t="n"/>
      <c r="R90" s="5">
        <f>IF(AND($B90&lt;&gt;"",$Q90&lt;&gt;""),$Q90-$B90,"")</f>
        <v/>
      </c>
      <c r="S90" s="2" t="n"/>
      <c r="T90" s="2" t="n"/>
      <c r="U90" s="2" t="n"/>
      <c r="V90" s="4" t="n"/>
      <c r="W90" s="3" t="n"/>
      <c r="X90" s="4" t="n"/>
      <c r="Y90" s="4">
        <f>IF(AND($P90&lt;&gt;"",$Q90="",$P90&lt;TODAY(),OR($N90="Новый",$N90="В работе",$N90="На проверке (QA)",$N90="Отложен")),"ДА","")</f>
        <v/>
      </c>
      <c r="Z90" s="2" t="n"/>
    </row>
    <row r="91">
      <c r="A91" s="6">
        <f>IF($G91="","","BUG-"&amp;TEXT(ROW()-1,"000"))</f>
        <v/>
      </c>
      <c r="B91" s="7" t="n"/>
      <c r="C91" s="6" t="n"/>
      <c r="D91" s="6" t="n"/>
      <c r="E91" s="6" t="n"/>
      <c r="F91" s="6" t="n"/>
      <c r="G91" s="6" t="n"/>
      <c r="H91" s="6" t="n"/>
      <c r="I91" s="6" t="n"/>
      <c r="J91" s="6" t="n"/>
      <c r="K91" s="8" t="n"/>
      <c r="L91" s="8" t="n"/>
      <c r="M91" s="6" t="n"/>
      <c r="N91" s="8" t="n"/>
      <c r="O91" s="6" t="n"/>
      <c r="P91" s="7" t="n"/>
      <c r="Q91" s="7" t="n"/>
      <c r="R91" s="9">
        <f>IF(AND($B91&lt;&gt;"",$Q91&lt;&gt;""),$Q91-$B91,"")</f>
        <v/>
      </c>
      <c r="S91" s="6" t="n"/>
      <c r="T91" s="6" t="n"/>
      <c r="U91" s="6" t="n"/>
      <c r="V91" s="8" t="n"/>
      <c r="W91" s="7" t="n"/>
      <c r="X91" s="8" t="n"/>
      <c r="Y91" s="8">
        <f>IF(AND($P91&lt;&gt;"",$Q91="",$P91&lt;TODAY(),OR($N91="Новый",$N91="В работе",$N91="На проверке (QA)",$N91="Отложен")),"ДА","")</f>
        <v/>
      </c>
      <c r="Z91" s="6" t="n"/>
    </row>
    <row r="92">
      <c r="A92" s="2">
        <f>IF($G92="","","BUG-"&amp;TEXT(ROW()-1,"000"))</f>
        <v/>
      </c>
      <c r="B92" s="3" t="n"/>
      <c r="C92" s="2" t="n"/>
      <c r="D92" s="2" t="n"/>
      <c r="E92" s="2" t="n"/>
      <c r="F92" s="2" t="n"/>
      <c r="G92" s="2" t="n"/>
      <c r="H92" s="2" t="n"/>
      <c r="I92" s="2" t="n"/>
      <c r="J92" s="2" t="n"/>
      <c r="K92" s="4" t="n"/>
      <c r="L92" s="4" t="n"/>
      <c r="M92" s="2" t="n"/>
      <c r="N92" s="4" t="n"/>
      <c r="O92" s="2" t="n"/>
      <c r="P92" s="3" t="n"/>
      <c r="Q92" s="3" t="n"/>
      <c r="R92" s="5">
        <f>IF(AND($B92&lt;&gt;"",$Q92&lt;&gt;""),$Q92-$B92,"")</f>
        <v/>
      </c>
      <c r="S92" s="2" t="n"/>
      <c r="T92" s="2" t="n"/>
      <c r="U92" s="2" t="n"/>
      <c r="V92" s="4" t="n"/>
      <c r="W92" s="3" t="n"/>
      <c r="X92" s="4" t="n"/>
      <c r="Y92" s="4">
        <f>IF(AND($P92&lt;&gt;"",$Q92="",$P92&lt;TODAY(),OR($N92="Новый",$N92="В работе",$N92="На проверке (QA)",$N92="Отложен")),"ДА","")</f>
        <v/>
      </c>
      <c r="Z92" s="2" t="n"/>
    </row>
    <row r="93">
      <c r="A93" s="6">
        <f>IF($G93="","","BUG-"&amp;TEXT(ROW()-1,"000"))</f>
        <v/>
      </c>
      <c r="B93" s="7" t="n"/>
      <c r="C93" s="6" t="n"/>
      <c r="D93" s="6" t="n"/>
      <c r="E93" s="6" t="n"/>
      <c r="F93" s="6" t="n"/>
      <c r="G93" s="6" t="n"/>
      <c r="H93" s="6" t="n"/>
      <c r="I93" s="6" t="n"/>
      <c r="J93" s="6" t="n"/>
      <c r="K93" s="8" t="n"/>
      <c r="L93" s="8" t="n"/>
      <c r="M93" s="6" t="n"/>
      <c r="N93" s="8" t="n"/>
      <c r="O93" s="6" t="n"/>
      <c r="P93" s="7" t="n"/>
      <c r="Q93" s="7" t="n"/>
      <c r="R93" s="9">
        <f>IF(AND($B93&lt;&gt;"",$Q93&lt;&gt;""),$Q93-$B93,"")</f>
        <v/>
      </c>
      <c r="S93" s="6" t="n"/>
      <c r="T93" s="6" t="n"/>
      <c r="U93" s="6" t="n"/>
      <c r="V93" s="8" t="n"/>
      <c r="W93" s="7" t="n"/>
      <c r="X93" s="8" t="n"/>
      <c r="Y93" s="8">
        <f>IF(AND($P93&lt;&gt;"",$Q93="",$P93&lt;TODAY(),OR($N93="Новый",$N93="В работе",$N93="На проверке (QA)",$N93="Отложен")),"ДА","")</f>
        <v/>
      </c>
      <c r="Z93" s="6" t="n"/>
    </row>
    <row r="94">
      <c r="A94" s="2">
        <f>IF($G94="","","BUG-"&amp;TEXT(ROW()-1,"000"))</f>
        <v/>
      </c>
      <c r="B94" s="3" t="n"/>
      <c r="C94" s="2" t="n"/>
      <c r="D94" s="2" t="n"/>
      <c r="E94" s="2" t="n"/>
      <c r="F94" s="2" t="n"/>
      <c r="G94" s="2" t="n"/>
      <c r="H94" s="2" t="n"/>
      <c r="I94" s="2" t="n"/>
      <c r="J94" s="2" t="n"/>
      <c r="K94" s="4" t="n"/>
      <c r="L94" s="4" t="n"/>
      <c r="M94" s="2" t="n"/>
      <c r="N94" s="4" t="n"/>
      <c r="O94" s="2" t="n"/>
      <c r="P94" s="3" t="n"/>
      <c r="Q94" s="3" t="n"/>
      <c r="R94" s="5">
        <f>IF(AND($B94&lt;&gt;"",$Q94&lt;&gt;""),$Q94-$B94,"")</f>
        <v/>
      </c>
      <c r="S94" s="2" t="n"/>
      <c r="T94" s="2" t="n"/>
      <c r="U94" s="2" t="n"/>
      <c r="V94" s="4" t="n"/>
      <c r="W94" s="3" t="n"/>
      <c r="X94" s="4" t="n"/>
      <c r="Y94" s="4">
        <f>IF(AND($P94&lt;&gt;"",$Q94="",$P94&lt;TODAY(),OR($N94="Новый",$N94="В работе",$N94="На проверке (QA)",$N94="Отложен")),"ДА","")</f>
        <v/>
      </c>
      <c r="Z94" s="2" t="n"/>
    </row>
    <row r="95">
      <c r="A95" s="6">
        <f>IF($G95="","","BUG-"&amp;TEXT(ROW()-1,"000"))</f>
        <v/>
      </c>
      <c r="B95" s="7" t="n"/>
      <c r="C95" s="6" t="n"/>
      <c r="D95" s="6" t="n"/>
      <c r="E95" s="6" t="n"/>
      <c r="F95" s="6" t="n"/>
      <c r="G95" s="6" t="n"/>
      <c r="H95" s="6" t="n"/>
      <c r="I95" s="6" t="n"/>
      <c r="J95" s="6" t="n"/>
      <c r="K95" s="8" t="n"/>
      <c r="L95" s="8" t="n"/>
      <c r="M95" s="6" t="n"/>
      <c r="N95" s="8" t="n"/>
      <c r="O95" s="6" t="n"/>
      <c r="P95" s="7" t="n"/>
      <c r="Q95" s="7" t="n"/>
      <c r="R95" s="9">
        <f>IF(AND($B95&lt;&gt;"",$Q95&lt;&gt;""),$Q95-$B95,"")</f>
        <v/>
      </c>
      <c r="S95" s="6" t="n"/>
      <c r="T95" s="6" t="n"/>
      <c r="U95" s="6" t="n"/>
      <c r="V95" s="8" t="n"/>
      <c r="W95" s="7" t="n"/>
      <c r="X95" s="8" t="n"/>
      <c r="Y95" s="8">
        <f>IF(AND($P95&lt;&gt;"",$Q95="",$P95&lt;TODAY(),OR($N95="Новый",$N95="В работе",$N95="На проверке (QA)",$N95="Отложен")),"ДА","")</f>
        <v/>
      </c>
      <c r="Z95" s="6" t="n"/>
    </row>
    <row r="96">
      <c r="A96" s="2">
        <f>IF($G96="","","BUG-"&amp;TEXT(ROW()-1,"000"))</f>
        <v/>
      </c>
      <c r="B96" s="3" t="n"/>
      <c r="C96" s="2" t="n"/>
      <c r="D96" s="2" t="n"/>
      <c r="E96" s="2" t="n"/>
      <c r="F96" s="2" t="n"/>
      <c r="G96" s="2" t="n"/>
      <c r="H96" s="2" t="n"/>
      <c r="I96" s="2" t="n"/>
      <c r="J96" s="2" t="n"/>
      <c r="K96" s="4" t="n"/>
      <c r="L96" s="4" t="n"/>
      <c r="M96" s="2" t="n"/>
      <c r="N96" s="4" t="n"/>
      <c r="O96" s="2" t="n"/>
      <c r="P96" s="3" t="n"/>
      <c r="Q96" s="3" t="n"/>
      <c r="R96" s="5">
        <f>IF(AND($B96&lt;&gt;"",$Q96&lt;&gt;""),$Q96-$B96,"")</f>
        <v/>
      </c>
      <c r="S96" s="2" t="n"/>
      <c r="T96" s="2" t="n"/>
      <c r="U96" s="2" t="n"/>
      <c r="V96" s="4" t="n"/>
      <c r="W96" s="3" t="n"/>
      <c r="X96" s="4" t="n"/>
      <c r="Y96" s="4">
        <f>IF(AND($P96&lt;&gt;"",$Q96="",$P96&lt;TODAY(),OR($N96="Новый",$N96="В работе",$N96="На проверке (QA)",$N96="Отложен")),"ДА","")</f>
        <v/>
      </c>
      <c r="Z96" s="2" t="n"/>
    </row>
    <row r="97">
      <c r="A97" s="6">
        <f>IF($G97="","","BUG-"&amp;TEXT(ROW()-1,"000"))</f>
        <v/>
      </c>
      <c r="B97" s="7" t="n"/>
      <c r="C97" s="6" t="n"/>
      <c r="D97" s="6" t="n"/>
      <c r="E97" s="6" t="n"/>
      <c r="F97" s="6" t="n"/>
      <c r="G97" s="6" t="n"/>
      <c r="H97" s="6" t="n"/>
      <c r="I97" s="6" t="n"/>
      <c r="J97" s="6" t="n"/>
      <c r="K97" s="8" t="n"/>
      <c r="L97" s="8" t="n"/>
      <c r="M97" s="6" t="n"/>
      <c r="N97" s="8" t="n"/>
      <c r="O97" s="6" t="n"/>
      <c r="P97" s="7" t="n"/>
      <c r="Q97" s="7" t="n"/>
      <c r="R97" s="9">
        <f>IF(AND($B97&lt;&gt;"",$Q97&lt;&gt;""),$Q97-$B97,"")</f>
        <v/>
      </c>
      <c r="S97" s="6" t="n"/>
      <c r="T97" s="6" t="n"/>
      <c r="U97" s="6" t="n"/>
      <c r="V97" s="8" t="n"/>
      <c r="W97" s="7" t="n"/>
      <c r="X97" s="8" t="n"/>
      <c r="Y97" s="8">
        <f>IF(AND($P97&lt;&gt;"",$Q97="",$P97&lt;TODAY(),OR($N97="Новый",$N97="В работе",$N97="На проверке (QA)",$N97="Отложен")),"ДА","")</f>
        <v/>
      </c>
      <c r="Z97" s="6" t="n"/>
    </row>
    <row r="98">
      <c r="A98" s="2">
        <f>IF($G98="","","BUG-"&amp;TEXT(ROW()-1,"000"))</f>
        <v/>
      </c>
      <c r="B98" s="3" t="n"/>
      <c r="C98" s="2" t="n"/>
      <c r="D98" s="2" t="n"/>
      <c r="E98" s="2" t="n"/>
      <c r="F98" s="2" t="n"/>
      <c r="G98" s="2" t="n"/>
      <c r="H98" s="2" t="n"/>
      <c r="I98" s="2" t="n"/>
      <c r="J98" s="2" t="n"/>
      <c r="K98" s="4" t="n"/>
      <c r="L98" s="4" t="n"/>
      <c r="M98" s="2" t="n"/>
      <c r="N98" s="4" t="n"/>
      <c r="O98" s="2" t="n"/>
      <c r="P98" s="3" t="n"/>
      <c r="Q98" s="3" t="n"/>
      <c r="R98" s="5">
        <f>IF(AND($B98&lt;&gt;"",$Q98&lt;&gt;""),$Q98-$B98,"")</f>
        <v/>
      </c>
      <c r="S98" s="2" t="n"/>
      <c r="T98" s="2" t="n"/>
      <c r="U98" s="2" t="n"/>
      <c r="V98" s="4" t="n"/>
      <c r="W98" s="3" t="n"/>
      <c r="X98" s="4" t="n"/>
      <c r="Y98" s="4">
        <f>IF(AND($P98&lt;&gt;"",$Q98="",$P98&lt;TODAY(),OR($N98="Новый",$N98="В работе",$N98="На проверке (QA)",$N98="Отложен")),"ДА","")</f>
        <v/>
      </c>
      <c r="Z98" s="2" t="n"/>
    </row>
    <row r="99">
      <c r="A99" s="6">
        <f>IF($G99="","","BUG-"&amp;TEXT(ROW()-1,"000"))</f>
        <v/>
      </c>
      <c r="B99" s="7" t="n"/>
      <c r="C99" s="6" t="n"/>
      <c r="D99" s="6" t="n"/>
      <c r="E99" s="6" t="n"/>
      <c r="F99" s="6" t="n"/>
      <c r="G99" s="6" t="n"/>
      <c r="H99" s="6" t="n"/>
      <c r="I99" s="6" t="n"/>
      <c r="J99" s="6" t="n"/>
      <c r="K99" s="8" t="n"/>
      <c r="L99" s="8" t="n"/>
      <c r="M99" s="6" t="n"/>
      <c r="N99" s="8" t="n"/>
      <c r="O99" s="6" t="n"/>
      <c r="P99" s="7" t="n"/>
      <c r="Q99" s="7" t="n"/>
      <c r="R99" s="9">
        <f>IF(AND($B99&lt;&gt;"",$Q99&lt;&gt;""),$Q99-$B99,"")</f>
        <v/>
      </c>
      <c r="S99" s="6" t="n"/>
      <c r="T99" s="6" t="n"/>
      <c r="U99" s="6" t="n"/>
      <c r="V99" s="8" t="n"/>
      <c r="W99" s="7" t="n"/>
      <c r="X99" s="8" t="n"/>
      <c r="Y99" s="8">
        <f>IF(AND($P99&lt;&gt;"",$Q99="",$P99&lt;TODAY(),OR($N99="Новый",$N99="В работе",$N99="На проверке (QA)",$N99="Отложен")),"ДА","")</f>
        <v/>
      </c>
      <c r="Z99" s="6" t="n"/>
    </row>
    <row r="100">
      <c r="A100" s="2">
        <f>IF($G100="","","BUG-"&amp;TEXT(ROW()-1,"000"))</f>
        <v/>
      </c>
      <c r="B100" s="3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4" t="n"/>
      <c r="L100" s="4" t="n"/>
      <c r="M100" s="2" t="n"/>
      <c r="N100" s="4" t="n"/>
      <c r="O100" s="2" t="n"/>
      <c r="P100" s="3" t="n"/>
      <c r="Q100" s="3" t="n"/>
      <c r="R100" s="5">
        <f>IF(AND($B100&lt;&gt;"",$Q100&lt;&gt;""),$Q100-$B100,"")</f>
        <v/>
      </c>
      <c r="S100" s="2" t="n"/>
      <c r="T100" s="2" t="n"/>
      <c r="U100" s="2" t="n"/>
      <c r="V100" s="4" t="n"/>
      <c r="W100" s="3" t="n"/>
      <c r="X100" s="4" t="n"/>
      <c r="Y100" s="4">
        <f>IF(AND($P100&lt;&gt;"",$Q100="",$P100&lt;TODAY(),OR($N100="Новый",$N100="В работе",$N100="На проверке (QA)",$N100="Отложен")),"ДА","")</f>
        <v/>
      </c>
      <c r="Z100" s="2" t="n"/>
    </row>
    <row r="101">
      <c r="A101" s="6">
        <f>IF($G101="","","BUG-"&amp;TEXT(ROW()-1,"000"))</f>
        <v/>
      </c>
      <c r="B101" s="7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8" t="n"/>
      <c r="L101" s="8" t="n"/>
      <c r="M101" s="6" t="n"/>
      <c r="N101" s="8" t="n"/>
      <c r="O101" s="6" t="n"/>
      <c r="P101" s="7" t="n"/>
      <c r="Q101" s="7" t="n"/>
      <c r="R101" s="9">
        <f>IF(AND($B101&lt;&gt;"",$Q101&lt;&gt;""),$Q101-$B101,"")</f>
        <v/>
      </c>
      <c r="S101" s="6" t="n"/>
      <c r="T101" s="6" t="n"/>
      <c r="U101" s="6" t="n"/>
      <c r="V101" s="8" t="n"/>
      <c r="W101" s="7" t="n"/>
      <c r="X101" s="8" t="n"/>
      <c r="Y101" s="8">
        <f>IF(AND($P101&lt;&gt;"",$Q101="",$P101&lt;TODAY(),OR($N101="Новый",$N101="В работе",$N101="На проверке (QA)",$N101="Отложен")),"ДА","")</f>
        <v/>
      </c>
      <c r="Z101" s="6" t="n"/>
    </row>
    <row r="102">
      <c r="A102" s="2">
        <f>IF($G102="","","BUG-"&amp;TEXT(ROW()-1,"000"))</f>
        <v/>
      </c>
      <c r="B102" s="3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4" t="n"/>
      <c r="L102" s="4" t="n"/>
      <c r="M102" s="2" t="n"/>
      <c r="N102" s="4" t="n"/>
      <c r="O102" s="2" t="n"/>
      <c r="P102" s="3" t="n"/>
      <c r="Q102" s="3" t="n"/>
      <c r="R102" s="5">
        <f>IF(AND($B102&lt;&gt;"",$Q102&lt;&gt;""),$Q102-$B102,"")</f>
        <v/>
      </c>
      <c r="S102" s="2" t="n"/>
      <c r="T102" s="2" t="n"/>
      <c r="U102" s="2" t="n"/>
      <c r="V102" s="4" t="n"/>
      <c r="W102" s="3" t="n"/>
      <c r="X102" s="4" t="n"/>
      <c r="Y102" s="4">
        <f>IF(AND($P102&lt;&gt;"",$Q102="",$P102&lt;TODAY(),OR($N102="Новый",$N102="В работе",$N102="На проверке (QA)",$N102="Отложен")),"ДА","")</f>
        <v/>
      </c>
      <c r="Z102" s="2" t="n"/>
    </row>
    <row r="103">
      <c r="A103" s="6">
        <f>IF($G103="","","BUG-"&amp;TEXT(ROW()-1,"000"))</f>
        <v/>
      </c>
      <c r="B103" s="7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8" t="n"/>
      <c r="L103" s="8" t="n"/>
      <c r="M103" s="6" t="n"/>
      <c r="N103" s="8" t="n"/>
      <c r="O103" s="6" t="n"/>
      <c r="P103" s="7" t="n"/>
      <c r="Q103" s="7" t="n"/>
      <c r="R103" s="9">
        <f>IF(AND($B103&lt;&gt;"",$Q103&lt;&gt;""),$Q103-$B103,"")</f>
        <v/>
      </c>
      <c r="S103" s="6" t="n"/>
      <c r="T103" s="6" t="n"/>
      <c r="U103" s="6" t="n"/>
      <c r="V103" s="8" t="n"/>
      <c r="W103" s="7" t="n"/>
      <c r="X103" s="8" t="n"/>
      <c r="Y103" s="8">
        <f>IF(AND($P103&lt;&gt;"",$Q103="",$P103&lt;TODAY(),OR($N103="Новый",$N103="В работе",$N103="На проверке (QA)",$N103="Отложен")),"ДА","")</f>
        <v/>
      </c>
      <c r="Z103" s="6" t="n"/>
    </row>
    <row r="104">
      <c r="A104" s="2">
        <f>IF($G104="","","BUG-"&amp;TEXT(ROW()-1,"000"))</f>
        <v/>
      </c>
      <c r="B104" s="3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4" t="n"/>
      <c r="L104" s="4" t="n"/>
      <c r="M104" s="2" t="n"/>
      <c r="N104" s="4" t="n"/>
      <c r="O104" s="2" t="n"/>
      <c r="P104" s="3" t="n"/>
      <c r="Q104" s="3" t="n"/>
      <c r="R104" s="5">
        <f>IF(AND($B104&lt;&gt;"",$Q104&lt;&gt;""),$Q104-$B104,"")</f>
        <v/>
      </c>
      <c r="S104" s="2" t="n"/>
      <c r="T104" s="2" t="n"/>
      <c r="U104" s="2" t="n"/>
      <c r="V104" s="4" t="n"/>
      <c r="W104" s="3" t="n"/>
      <c r="X104" s="4" t="n"/>
      <c r="Y104" s="4">
        <f>IF(AND($P104&lt;&gt;"",$Q104="",$P104&lt;TODAY(),OR($N104="Новый",$N104="В работе",$N104="На проверке (QA)",$N104="Отложен")),"ДА","")</f>
        <v/>
      </c>
      <c r="Z104" s="2" t="n"/>
    </row>
    <row r="105">
      <c r="A105" s="6">
        <f>IF($G105="","","BUG-"&amp;TEXT(ROW()-1,"000"))</f>
        <v/>
      </c>
      <c r="B105" s="7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8" t="n"/>
      <c r="L105" s="8" t="n"/>
      <c r="M105" s="6" t="n"/>
      <c r="N105" s="8" t="n"/>
      <c r="O105" s="6" t="n"/>
      <c r="P105" s="7" t="n"/>
      <c r="Q105" s="7" t="n"/>
      <c r="R105" s="9">
        <f>IF(AND($B105&lt;&gt;"",$Q105&lt;&gt;""),$Q105-$B105,"")</f>
        <v/>
      </c>
      <c r="S105" s="6" t="n"/>
      <c r="T105" s="6" t="n"/>
      <c r="U105" s="6" t="n"/>
      <c r="V105" s="8" t="n"/>
      <c r="W105" s="7" t="n"/>
      <c r="X105" s="8" t="n"/>
      <c r="Y105" s="8">
        <f>IF(AND($P105&lt;&gt;"",$Q105="",$P105&lt;TODAY(),OR($N105="Новый",$N105="В работе",$N105="На проверке (QA)",$N105="Отложен")),"ДА","")</f>
        <v/>
      </c>
      <c r="Z105" s="6" t="n"/>
    </row>
    <row r="106">
      <c r="A106" s="2">
        <f>IF($G106="","","BUG-"&amp;TEXT(ROW()-1,"000"))</f>
        <v/>
      </c>
      <c r="B106" s="3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4" t="n"/>
      <c r="L106" s="4" t="n"/>
      <c r="M106" s="2" t="n"/>
      <c r="N106" s="4" t="n"/>
      <c r="O106" s="2" t="n"/>
      <c r="P106" s="3" t="n"/>
      <c r="Q106" s="3" t="n"/>
      <c r="R106" s="5">
        <f>IF(AND($B106&lt;&gt;"",$Q106&lt;&gt;""),$Q106-$B106,"")</f>
        <v/>
      </c>
      <c r="S106" s="2" t="n"/>
      <c r="T106" s="2" t="n"/>
      <c r="U106" s="2" t="n"/>
      <c r="V106" s="4" t="n"/>
      <c r="W106" s="3" t="n"/>
      <c r="X106" s="4" t="n"/>
      <c r="Y106" s="4">
        <f>IF(AND($P106&lt;&gt;"",$Q106="",$P106&lt;TODAY(),OR($N106="Новый",$N106="В работе",$N106="На проверке (QA)",$N106="Отложен")),"ДА","")</f>
        <v/>
      </c>
      <c r="Z106" s="2" t="n"/>
    </row>
    <row r="107">
      <c r="A107" s="6">
        <f>IF($G107="","","BUG-"&amp;TEXT(ROW()-1,"000"))</f>
        <v/>
      </c>
      <c r="B107" s="7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8" t="n"/>
      <c r="L107" s="8" t="n"/>
      <c r="M107" s="6" t="n"/>
      <c r="N107" s="8" t="n"/>
      <c r="O107" s="6" t="n"/>
      <c r="P107" s="7" t="n"/>
      <c r="Q107" s="7" t="n"/>
      <c r="R107" s="9">
        <f>IF(AND($B107&lt;&gt;"",$Q107&lt;&gt;""),$Q107-$B107,"")</f>
        <v/>
      </c>
      <c r="S107" s="6" t="n"/>
      <c r="T107" s="6" t="n"/>
      <c r="U107" s="6" t="n"/>
      <c r="V107" s="8" t="n"/>
      <c r="W107" s="7" t="n"/>
      <c r="X107" s="8" t="n"/>
      <c r="Y107" s="8">
        <f>IF(AND($P107&lt;&gt;"",$Q107="",$P107&lt;TODAY(),OR($N107="Новый",$N107="В работе",$N107="На проверке (QA)",$N107="Отложен")),"ДА","")</f>
        <v/>
      </c>
      <c r="Z107" s="6" t="n"/>
    </row>
    <row r="108">
      <c r="A108" s="2">
        <f>IF($G108="","","BUG-"&amp;TEXT(ROW()-1,"000"))</f>
        <v/>
      </c>
      <c r="B108" s="3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4" t="n"/>
      <c r="L108" s="4" t="n"/>
      <c r="M108" s="2" t="n"/>
      <c r="N108" s="4" t="n"/>
      <c r="O108" s="2" t="n"/>
      <c r="P108" s="3" t="n"/>
      <c r="Q108" s="3" t="n"/>
      <c r="R108" s="5">
        <f>IF(AND($B108&lt;&gt;"",$Q108&lt;&gt;""),$Q108-$B108,"")</f>
        <v/>
      </c>
      <c r="S108" s="2" t="n"/>
      <c r="T108" s="2" t="n"/>
      <c r="U108" s="2" t="n"/>
      <c r="V108" s="4" t="n"/>
      <c r="W108" s="3" t="n"/>
      <c r="X108" s="4" t="n"/>
      <c r="Y108" s="4">
        <f>IF(AND($P108&lt;&gt;"",$Q108="",$P108&lt;TODAY(),OR($N108="Новый",$N108="В работе",$N108="На проверке (QA)",$N108="Отложен")),"ДА","")</f>
        <v/>
      </c>
      <c r="Z108" s="2" t="n"/>
    </row>
    <row r="109">
      <c r="A109" s="6">
        <f>IF($G109="","","BUG-"&amp;TEXT(ROW()-1,"000"))</f>
        <v/>
      </c>
      <c r="B109" s="7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8" t="n"/>
      <c r="L109" s="8" t="n"/>
      <c r="M109" s="6" t="n"/>
      <c r="N109" s="8" t="n"/>
      <c r="O109" s="6" t="n"/>
      <c r="P109" s="7" t="n"/>
      <c r="Q109" s="7" t="n"/>
      <c r="R109" s="9">
        <f>IF(AND($B109&lt;&gt;"",$Q109&lt;&gt;""),$Q109-$B109,"")</f>
        <v/>
      </c>
      <c r="S109" s="6" t="n"/>
      <c r="T109" s="6" t="n"/>
      <c r="U109" s="6" t="n"/>
      <c r="V109" s="8" t="n"/>
      <c r="W109" s="7" t="n"/>
      <c r="X109" s="8" t="n"/>
      <c r="Y109" s="8">
        <f>IF(AND($P109&lt;&gt;"",$Q109="",$P109&lt;TODAY(),OR($N109="Новый",$N109="В работе",$N109="На проверке (QA)",$N109="Отложен")),"ДА","")</f>
        <v/>
      </c>
      <c r="Z109" s="6" t="n"/>
    </row>
    <row r="110">
      <c r="A110" s="2">
        <f>IF($G110="","","BUG-"&amp;TEXT(ROW()-1,"000"))</f>
        <v/>
      </c>
      <c r="B110" s="3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4" t="n"/>
      <c r="L110" s="4" t="n"/>
      <c r="M110" s="2" t="n"/>
      <c r="N110" s="4" t="n"/>
      <c r="O110" s="2" t="n"/>
      <c r="P110" s="3" t="n"/>
      <c r="Q110" s="3" t="n"/>
      <c r="R110" s="5">
        <f>IF(AND($B110&lt;&gt;"",$Q110&lt;&gt;""),$Q110-$B110,"")</f>
        <v/>
      </c>
      <c r="S110" s="2" t="n"/>
      <c r="T110" s="2" t="n"/>
      <c r="U110" s="2" t="n"/>
      <c r="V110" s="4" t="n"/>
      <c r="W110" s="3" t="n"/>
      <c r="X110" s="4" t="n"/>
      <c r="Y110" s="4">
        <f>IF(AND($P110&lt;&gt;"",$Q110="",$P110&lt;TODAY(),OR($N110="Новый",$N110="В работе",$N110="На проверке (QA)",$N110="Отложен")),"ДА","")</f>
        <v/>
      </c>
      <c r="Z110" s="2" t="n"/>
    </row>
    <row r="111">
      <c r="A111" s="6">
        <f>IF($G111="","","BUG-"&amp;TEXT(ROW()-1,"000"))</f>
        <v/>
      </c>
      <c r="B111" s="7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8" t="n"/>
      <c r="L111" s="8" t="n"/>
      <c r="M111" s="6" t="n"/>
      <c r="N111" s="8" t="n"/>
      <c r="O111" s="6" t="n"/>
      <c r="P111" s="7" t="n"/>
      <c r="Q111" s="7" t="n"/>
      <c r="R111" s="9">
        <f>IF(AND($B111&lt;&gt;"",$Q111&lt;&gt;""),$Q111-$B111,"")</f>
        <v/>
      </c>
      <c r="S111" s="6" t="n"/>
      <c r="T111" s="6" t="n"/>
      <c r="U111" s="6" t="n"/>
      <c r="V111" s="8" t="n"/>
      <c r="W111" s="7" t="n"/>
      <c r="X111" s="8" t="n"/>
      <c r="Y111" s="8">
        <f>IF(AND($P111&lt;&gt;"",$Q111="",$P111&lt;TODAY(),OR($N111="Новый",$N111="В работе",$N111="На проверке (QA)",$N111="Отложен")),"ДА","")</f>
        <v/>
      </c>
      <c r="Z111" s="6" t="n"/>
    </row>
    <row r="112">
      <c r="A112" s="2">
        <f>IF($G112="","","BUG-"&amp;TEXT(ROW()-1,"000"))</f>
        <v/>
      </c>
      <c r="B112" s="3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4" t="n"/>
      <c r="L112" s="4" t="n"/>
      <c r="M112" s="2" t="n"/>
      <c r="N112" s="4" t="n"/>
      <c r="O112" s="2" t="n"/>
      <c r="P112" s="3" t="n"/>
      <c r="Q112" s="3" t="n"/>
      <c r="R112" s="5">
        <f>IF(AND($B112&lt;&gt;"",$Q112&lt;&gt;""),$Q112-$B112,"")</f>
        <v/>
      </c>
      <c r="S112" s="2" t="n"/>
      <c r="T112" s="2" t="n"/>
      <c r="U112" s="2" t="n"/>
      <c r="V112" s="4" t="n"/>
      <c r="W112" s="3" t="n"/>
      <c r="X112" s="4" t="n"/>
      <c r="Y112" s="4">
        <f>IF(AND($P112&lt;&gt;"",$Q112="",$P112&lt;TODAY(),OR($N112="Новый",$N112="В работе",$N112="На проверке (QA)",$N112="Отложен")),"ДА","")</f>
        <v/>
      </c>
      <c r="Z112" s="2" t="n"/>
    </row>
    <row r="113">
      <c r="A113" s="6">
        <f>IF($G113="","","BUG-"&amp;TEXT(ROW()-1,"000"))</f>
        <v/>
      </c>
      <c r="B113" s="7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8" t="n"/>
      <c r="L113" s="8" t="n"/>
      <c r="M113" s="6" t="n"/>
      <c r="N113" s="8" t="n"/>
      <c r="O113" s="6" t="n"/>
      <c r="P113" s="7" t="n"/>
      <c r="Q113" s="7" t="n"/>
      <c r="R113" s="9">
        <f>IF(AND($B113&lt;&gt;"",$Q113&lt;&gt;""),$Q113-$B113,"")</f>
        <v/>
      </c>
      <c r="S113" s="6" t="n"/>
      <c r="T113" s="6" t="n"/>
      <c r="U113" s="6" t="n"/>
      <c r="V113" s="8" t="n"/>
      <c r="W113" s="7" t="n"/>
      <c r="X113" s="8" t="n"/>
      <c r="Y113" s="8">
        <f>IF(AND($P113&lt;&gt;"",$Q113="",$P113&lt;TODAY(),OR($N113="Новый",$N113="В работе",$N113="На проверке (QA)",$N113="Отложен")),"ДА","")</f>
        <v/>
      </c>
      <c r="Z113" s="6" t="n"/>
    </row>
    <row r="114">
      <c r="A114" s="2">
        <f>IF($G114="","","BUG-"&amp;TEXT(ROW()-1,"000"))</f>
        <v/>
      </c>
      <c r="B114" s="3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4" t="n"/>
      <c r="L114" s="4" t="n"/>
      <c r="M114" s="2" t="n"/>
      <c r="N114" s="4" t="n"/>
      <c r="O114" s="2" t="n"/>
      <c r="P114" s="3" t="n"/>
      <c r="Q114" s="3" t="n"/>
      <c r="R114" s="5">
        <f>IF(AND($B114&lt;&gt;"",$Q114&lt;&gt;""),$Q114-$B114,"")</f>
        <v/>
      </c>
      <c r="S114" s="2" t="n"/>
      <c r="T114" s="2" t="n"/>
      <c r="U114" s="2" t="n"/>
      <c r="V114" s="4" t="n"/>
      <c r="W114" s="3" t="n"/>
      <c r="X114" s="4" t="n"/>
      <c r="Y114" s="4">
        <f>IF(AND($P114&lt;&gt;"",$Q114="",$P114&lt;TODAY(),OR($N114="Новый",$N114="В работе",$N114="На проверке (QA)",$N114="Отложен")),"ДА","")</f>
        <v/>
      </c>
      <c r="Z114" s="2" t="n"/>
    </row>
    <row r="115">
      <c r="A115" s="6">
        <f>IF($G115="","","BUG-"&amp;TEXT(ROW()-1,"000"))</f>
        <v/>
      </c>
      <c r="B115" s="7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8" t="n"/>
      <c r="L115" s="8" t="n"/>
      <c r="M115" s="6" t="n"/>
      <c r="N115" s="8" t="n"/>
      <c r="O115" s="6" t="n"/>
      <c r="P115" s="7" t="n"/>
      <c r="Q115" s="7" t="n"/>
      <c r="R115" s="9">
        <f>IF(AND($B115&lt;&gt;"",$Q115&lt;&gt;""),$Q115-$B115,"")</f>
        <v/>
      </c>
      <c r="S115" s="6" t="n"/>
      <c r="T115" s="6" t="n"/>
      <c r="U115" s="6" t="n"/>
      <c r="V115" s="8" t="n"/>
      <c r="W115" s="7" t="n"/>
      <c r="X115" s="8" t="n"/>
      <c r="Y115" s="8">
        <f>IF(AND($P115&lt;&gt;"",$Q115="",$P115&lt;TODAY(),OR($N115="Новый",$N115="В работе",$N115="На проверке (QA)",$N115="Отложен")),"ДА","")</f>
        <v/>
      </c>
      <c r="Z115" s="6" t="n"/>
    </row>
    <row r="116">
      <c r="A116" s="2">
        <f>IF($G116="","","BUG-"&amp;TEXT(ROW()-1,"000"))</f>
        <v/>
      </c>
      <c r="B116" s="3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4" t="n"/>
      <c r="L116" s="4" t="n"/>
      <c r="M116" s="2" t="n"/>
      <c r="N116" s="4" t="n"/>
      <c r="O116" s="2" t="n"/>
      <c r="P116" s="3" t="n"/>
      <c r="Q116" s="3" t="n"/>
      <c r="R116" s="5">
        <f>IF(AND($B116&lt;&gt;"",$Q116&lt;&gt;""),$Q116-$B116,"")</f>
        <v/>
      </c>
      <c r="S116" s="2" t="n"/>
      <c r="T116" s="2" t="n"/>
      <c r="U116" s="2" t="n"/>
      <c r="V116" s="4" t="n"/>
      <c r="W116" s="3" t="n"/>
      <c r="X116" s="4" t="n"/>
      <c r="Y116" s="4">
        <f>IF(AND($P116&lt;&gt;"",$Q116="",$P116&lt;TODAY(),OR($N116="Новый",$N116="В работе",$N116="На проверке (QA)",$N116="Отложен")),"ДА","")</f>
        <v/>
      </c>
      <c r="Z116" s="2" t="n"/>
    </row>
    <row r="117">
      <c r="A117" s="6">
        <f>IF($G117="","","BUG-"&amp;TEXT(ROW()-1,"000"))</f>
        <v/>
      </c>
      <c r="B117" s="7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8" t="n"/>
      <c r="L117" s="8" t="n"/>
      <c r="M117" s="6" t="n"/>
      <c r="N117" s="8" t="n"/>
      <c r="O117" s="6" t="n"/>
      <c r="P117" s="7" t="n"/>
      <c r="Q117" s="7" t="n"/>
      <c r="R117" s="9">
        <f>IF(AND($B117&lt;&gt;"",$Q117&lt;&gt;""),$Q117-$B117,"")</f>
        <v/>
      </c>
      <c r="S117" s="6" t="n"/>
      <c r="T117" s="6" t="n"/>
      <c r="U117" s="6" t="n"/>
      <c r="V117" s="8" t="n"/>
      <c r="W117" s="7" t="n"/>
      <c r="X117" s="8" t="n"/>
      <c r="Y117" s="8">
        <f>IF(AND($P117&lt;&gt;"",$Q117="",$P117&lt;TODAY(),OR($N117="Новый",$N117="В работе",$N117="На проверке (QA)",$N117="Отложен")),"ДА","")</f>
        <v/>
      </c>
      <c r="Z117" s="6" t="n"/>
    </row>
    <row r="118">
      <c r="A118" s="2">
        <f>IF($G118="","","BUG-"&amp;TEXT(ROW()-1,"000"))</f>
        <v/>
      </c>
      <c r="B118" s="3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4" t="n"/>
      <c r="L118" s="4" t="n"/>
      <c r="M118" s="2" t="n"/>
      <c r="N118" s="4" t="n"/>
      <c r="O118" s="2" t="n"/>
      <c r="P118" s="3" t="n"/>
      <c r="Q118" s="3" t="n"/>
      <c r="R118" s="5">
        <f>IF(AND($B118&lt;&gt;"",$Q118&lt;&gt;""),$Q118-$B118,"")</f>
        <v/>
      </c>
      <c r="S118" s="2" t="n"/>
      <c r="T118" s="2" t="n"/>
      <c r="U118" s="2" t="n"/>
      <c r="V118" s="4" t="n"/>
      <c r="W118" s="3" t="n"/>
      <c r="X118" s="4" t="n"/>
      <c r="Y118" s="4">
        <f>IF(AND($P118&lt;&gt;"",$Q118="",$P118&lt;TODAY(),OR($N118="Новый",$N118="В работе",$N118="На проверке (QA)",$N118="Отложен")),"ДА","")</f>
        <v/>
      </c>
      <c r="Z118" s="2" t="n"/>
    </row>
    <row r="119">
      <c r="A119" s="6">
        <f>IF($G119="","","BUG-"&amp;TEXT(ROW()-1,"000"))</f>
        <v/>
      </c>
      <c r="B119" s="7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8" t="n"/>
      <c r="L119" s="8" t="n"/>
      <c r="M119" s="6" t="n"/>
      <c r="N119" s="8" t="n"/>
      <c r="O119" s="6" t="n"/>
      <c r="P119" s="7" t="n"/>
      <c r="Q119" s="7" t="n"/>
      <c r="R119" s="9">
        <f>IF(AND($B119&lt;&gt;"",$Q119&lt;&gt;""),$Q119-$B119,"")</f>
        <v/>
      </c>
      <c r="S119" s="6" t="n"/>
      <c r="T119" s="6" t="n"/>
      <c r="U119" s="6" t="n"/>
      <c r="V119" s="8" t="n"/>
      <c r="W119" s="7" t="n"/>
      <c r="X119" s="8" t="n"/>
      <c r="Y119" s="8">
        <f>IF(AND($P119&lt;&gt;"",$Q119="",$P119&lt;TODAY(),OR($N119="Новый",$N119="В работе",$N119="На проверке (QA)",$N119="Отложен")),"ДА","")</f>
        <v/>
      </c>
      <c r="Z119" s="6" t="n"/>
    </row>
    <row r="120">
      <c r="A120" s="2">
        <f>IF($G120="","","BUG-"&amp;TEXT(ROW()-1,"000"))</f>
        <v/>
      </c>
      <c r="B120" s="3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4" t="n"/>
      <c r="L120" s="4" t="n"/>
      <c r="M120" s="2" t="n"/>
      <c r="N120" s="4" t="n"/>
      <c r="O120" s="2" t="n"/>
      <c r="P120" s="3" t="n"/>
      <c r="Q120" s="3" t="n"/>
      <c r="R120" s="5">
        <f>IF(AND($B120&lt;&gt;"",$Q120&lt;&gt;""),$Q120-$B120,"")</f>
        <v/>
      </c>
      <c r="S120" s="2" t="n"/>
      <c r="T120" s="2" t="n"/>
      <c r="U120" s="2" t="n"/>
      <c r="V120" s="4" t="n"/>
      <c r="W120" s="3" t="n"/>
      <c r="X120" s="4" t="n"/>
      <c r="Y120" s="4">
        <f>IF(AND($P120&lt;&gt;"",$Q120="",$P120&lt;TODAY(),OR($N120="Новый",$N120="В работе",$N120="На проверке (QA)",$N120="Отложен")),"ДА","")</f>
        <v/>
      </c>
      <c r="Z120" s="2" t="n"/>
    </row>
    <row r="121">
      <c r="A121" s="6">
        <f>IF($G121="","","BUG-"&amp;TEXT(ROW()-1,"000"))</f>
        <v/>
      </c>
      <c r="B121" s="7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8" t="n"/>
      <c r="L121" s="8" t="n"/>
      <c r="M121" s="6" t="n"/>
      <c r="N121" s="8" t="n"/>
      <c r="O121" s="6" t="n"/>
      <c r="P121" s="7" t="n"/>
      <c r="Q121" s="7" t="n"/>
      <c r="R121" s="9">
        <f>IF(AND($B121&lt;&gt;"",$Q121&lt;&gt;""),$Q121-$B121,"")</f>
        <v/>
      </c>
      <c r="S121" s="6" t="n"/>
      <c r="T121" s="6" t="n"/>
      <c r="U121" s="6" t="n"/>
      <c r="V121" s="8" t="n"/>
      <c r="W121" s="7" t="n"/>
      <c r="X121" s="8" t="n"/>
      <c r="Y121" s="8">
        <f>IF(AND($P121&lt;&gt;"",$Q121="",$P121&lt;TODAY(),OR($N121="Новый",$N121="В работе",$N121="На проверке (QA)",$N121="Отложен")),"ДА","")</f>
        <v/>
      </c>
      <c r="Z121" s="6" t="n"/>
    </row>
    <row r="122">
      <c r="A122" s="2">
        <f>IF($G122="","","BUG-"&amp;TEXT(ROW()-1,"000"))</f>
        <v/>
      </c>
      <c r="B122" s="3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4" t="n"/>
      <c r="L122" s="4" t="n"/>
      <c r="M122" s="2" t="n"/>
      <c r="N122" s="4" t="n"/>
      <c r="O122" s="2" t="n"/>
      <c r="P122" s="3" t="n"/>
      <c r="Q122" s="3" t="n"/>
      <c r="R122" s="5">
        <f>IF(AND($B122&lt;&gt;"",$Q122&lt;&gt;""),$Q122-$B122,"")</f>
        <v/>
      </c>
      <c r="S122" s="2" t="n"/>
      <c r="T122" s="2" t="n"/>
      <c r="U122" s="2" t="n"/>
      <c r="V122" s="4" t="n"/>
      <c r="W122" s="3" t="n"/>
      <c r="X122" s="4" t="n"/>
      <c r="Y122" s="4">
        <f>IF(AND($P122&lt;&gt;"",$Q122="",$P122&lt;TODAY(),OR($N122="Новый",$N122="В работе",$N122="На проверке (QA)",$N122="Отложен")),"ДА","")</f>
        <v/>
      </c>
      <c r="Z122" s="2" t="n"/>
    </row>
    <row r="123">
      <c r="A123" s="6">
        <f>IF($G123="","","BUG-"&amp;TEXT(ROW()-1,"000"))</f>
        <v/>
      </c>
      <c r="B123" s="7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8" t="n"/>
      <c r="L123" s="8" t="n"/>
      <c r="M123" s="6" t="n"/>
      <c r="N123" s="8" t="n"/>
      <c r="O123" s="6" t="n"/>
      <c r="P123" s="7" t="n"/>
      <c r="Q123" s="7" t="n"/>
      <c r="R123" s="9">
        <f>IF(AND($B123&lt;&gt;"",$Q123&lt;&gt;""),$Q123-$B123,"")</f>
        <v/>
      </c>
      <c r="S123" s="6" t="n"/>
      <c r="T123" s="6" t="n"/>
      <c r="U123" s="6" t="n"/>
      <c r="V123" s="8" t="n"/>
      <c r="W123" s="7" t="n"/>
      <c r="X123" s="8" t="n"/>
      <c r="Y123" s="8">
        <f>IF(AND($P123&lt;&gt;"",$Q123="",$P123&lt;TODAY(),OR($N123="Новый",$N123="В работе",$N123="На проверке (QA)",$N123="Отложен")),"ДА","")</f>
        <v/>
      </c>
      <c r="Z123" s="6" t="n"/>
    </row>
    <row r="124">
      <c r="A124" s="2">
        <f>IF($G124="","","BUG-"&amp;TEXT(ROW()-1,"000"))</f>
        <v/>
      </c>
      <c r="B124" s="3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4" t="n"/>
      <c r="L124" s="4" t="n"/>
      <c r="M124" s="2" t="n"/>
      <c r="N124" s="4" t="n"/>
      <c r="O124" s="2" t="n"/>
      <c r="P124" s="3" t="n"/>
      <c r="Q124" s="3" t="n"/>
      <c r="R124" s="5">
        <f>IF(AND($B124&lt;&gt;"",$Q124&lt;&gt;""),$Q124-$B124,"")</f>
        <v/>
      </c>
      <c r="S124" s="2" t="n"/>
      <c r="T124" s="2" t="n"/>
      <c r="U124" s="2" t="n"/>
      <c r="V124" s="4" t="n"/>
      <c r="W124" s="3" t="n"/>
      <c r="X124" s="4" t="n"/>
      <c r="Y124" s="4">
        <f>IF(AND($P124&lt;&gt;"",$Q124="",$P124&lt;TODAY(),OR($N124="Новый",$N124="В работе",$N124="На проверке (QA)",$N124="Отложен")),"ДА","")</f>
        <v/>
      </c>
      <c r="Z124" s="2" t="n"/>
    </row>
    <row r="125">
      <c r="A125" s="6">
        <f>IF($G125="","","BUG-"&amp;TEXT(ROW()-1,"000"))</f>
        <v/>
      </c>
      <c r="B125" s="7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8" t="n"/>
      <c r="L125" s="8" t="n"/>
      <c r="M125" s="6" t="n"/>
      <c r="N125" s="8" t="n"/>
      <c r="O125" s="6" t="n"/>
      <c r="P125" s="7" t="n"/>
      <c r="Q125" s="7" t="n"/>
      <c r="R125" s="9">
        <f>IF(AND($B125&lt;&gt;"",$Q125&lt;&gt;""),$Q125-$B125,"")</f>
        <v/>
      </c>
      <c r="S125" s="6" t="n"/>
      <c r="T125" s="6" t="n"/>
      <c r="U125" s="6" t="n"/>
      <c r="V125" s="8" t="n"/>
      <c r="W125" s="7" t="n"/>
      <c r="X125" s="8" t="n"/>
      <c r="Y125" s="8">
        <f>IF(AND($P125&lt;&gt;"",$Q125="",$P125&lt;TODAY(),OR($N125="Новый",$N125="В работе",$N125="На проверке (QA)",$N125="Отложен")),"ДА","")</f>
        <v/>
      </c>
      <c r="Z125" s="6" t="n"/>
    </row>
    <row r="126">
      <c r="A126" s="2">
        <f>IF($G126="","","BUG-"&amp;TEXT(ROW()-1,"000"))</f>
        <v/>
      </c>
      <c r="B126" s="3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4" t="n"/>
      <c r="L126" s="4" t="n"/>
      <c r="M126" s="2" t="n"/>
      <c r="N126" s="4" t="n"/>
      <c r="O126" s="2" t="n"/>
      <c r="P126" s="3" t="n"/>
      <c r="Q126" s="3" t="n"/>
      <c r="R126" s="5">
        <f>IF(AND($B126&lt;&gt;"",$Q126&lt;&gt;""),$Q126-$B126,"")</f>
        <v/>
      </c>
      <c r="S126" s="2" t="n"/>
      <c r="T126" s="2" t="n"/>
      <c r="U126" s="2" t="n"/>
      <c r="V126" s="4" t="n"/>
      <c r="W126" s="3" t="n"/>
      <c r="X126" s="4" t="n"/>
      <c r="Y126" s="4">
        <f>IF(AND($P126&lt;&gt;"",$Q126="",$P126&lt;TODAY(),OR($N126="Новый",$N126="В работе",$N126="На проверке (QA)",$N126="Отложен")),"ДА","")</f>
        <v/>
      </c>
      <c r="Z126" s="2" t="n"/>
    </row>
    <row r="127">
      <c r="A127" s="6">
        <f>IF($G127="","","BUG-"&amp;TEXT(ROW()-1,"000"))</f>
        <v/>
      </c>
      <c r="B127" s="7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8" t="n"/>
      <c r="L127" s="8" t="n"/>
      <c r="M127" s="6" t="n"/>
      <c r="N127" s="8" t="n"/>
      <c r="O127" s="6" t="n"/>
      <c r="P127" s="7" t="n"/>
      <c r="Q127" s="7" t="n"/>
      <c r="R127" s="9">
        <f>IF(AND($B127&lt;&gt;"",$Q127&lt;&gt;""),$Q127-$B127,"")</f>
        <v/>
      </c>
      <c r="S127" s="6" t="n"/>
      <c r="T127" s="6" t="n"/>
      <c r="U127" s="6" t="n"/>
      <c r="V127" s="8" t="n"/>
      <c r="W127" s="7" t="n"/>
      <c r="X127" s="8" t="n"/>
      <c r="Y127" s="8">
        <f>IF(AND($P127&lt;&gt;"",$Q127="",$P127&lt;TODAY(),OR($N127="Новый",$N127="В работе",$N127="На проверке (QA)",$N127="Отложен")),"ДА","")</f>
        <v/>
      </c>
      <c r="Z127" s="6" t="n"/>
    </row>
    <row r="128">
      <c r="A128" s="2">
        <f>IF($G128="","","BUG-"&amp;TEXT(ROW()-1,"000"))</f>
        <v/>
      </c>
      <c r="B128" s="3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4" t="n"/>
      <c r="L128" s="4" t="n"/>
      <c r="M128" s="2" t="n"/>
      <c r="N128" s="4" t="n"/>
      <c r="O128" s="2" t="n"/>
      <c r="P128" s="3" t="n"/>
      <c r="Q128" s="3" t="n"/>
      <c r="R128" s="5">
        <f>IF(AND($B128&lt;&gt;"",$Q128&lt;&gt;""),$Q128-$B128,"")</f>
        <v/>
      </c>
      <c r="S128" s="2" t="n"/>
      <c r="T128" s="2" t="n"/>
      <c r="U128" s="2" t="n"/>
      <c r="V128" s="4" t="n"/>
      <c r="W128" s="3" t="n"/>
      <c r="X128" s="4" t="n"/>
      <c r="Y128" s="4">
        <f>IF(AND($P128&lt;&gt;"",$Q128="",$P128&lt;TODAY(),OR($N128="Новый",$N128="В работе",$N128="На проверке (QA)",$N128="Отложен")),"ДА","")</f>
        <v/>
      </c>
      <c r="Z128" s="2" t="n"/>
    </row>
    <row r="129">
      <c r="A129" s="6">
        <f>IF($G129="","","BUG-"&amp;TEXT(ROW()-1,"000"))</f>
        <v/>
      </c>
      <c r="B129" s="7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8" t="n"/>
      <c r="L129" s="8" t="n"/>
      <c r="M129" s="6" t="n"/>
      <c r="N129" s="8" t="n"/>
      <c r="O129" s="6" t="n"/>
      <c r="P129" s="7" t="n"/>
      <c r="Q129" s="7" t="n"/>
      <c r="R129" s="9">
        <f>IF(AND($B129&lt;&gt;"",$Q129&lt;&gt;""),$Q129-$B129,"")</f>
        <v/>
      </c>
      <c r="S129" s="6" t="n"/>
      <c r="T129" s="6" t="n"/>
      <c r="U129" s="6" t="n"/>
      <c r="V129" s="8" t="n"/>
      <c r="W129" s="7" t="n"/>
      <c r="X129" s="8" t="n"/>
      <c r="Y129" s="8">
        <f>IF(AND($P129&lt;&gt;"",$Q129="",$P129&lt;TODAY(),OR($N129="Новый",$N129="В работе",$N129="На проверке (QA)",$N129="Отложен")),"ДА","")</f>
        <v/>
      </c>
      <c r="Z129" s="6" t="n"/>
    </row>
    <row r="130">
      <c r="A130" s="2">
        <f>IF($G130="","","BUG-"&amp;TEXT(ROW()-1,"000"))</f>
        <v/>
      </c>
      <c r="B130" s="3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4" t="n"/>
      <c r="L130" s="4" t="n"/>
      <c r="M130" s="2" t="n"/>
      <c r="N130" s="4" t="n"/>
      <c r="O130" s="2" t="n"/>
      <c r="P130" s="3" t="n"/>
      <c r="Q130" s="3" t="n"/>
      <c r="R130" s="5">
        <f>IF(AND($B130&lt;&gt;"",$Q130&lt;&gt;""),$Q130-$B130,"")</f>
        <v/>
      </c>
      <c r="S130" s="2" t="n"/>
      <c r="T130" s="2" t="n"/>
      <c r="U130" s="2" t="n"/>
      <c r="V130" s="4" t="n"/>
      <c r="W130" s="3" t="n"/>
      <c r="X130" s="4" t="n"/>
      <c r="Y130" s="4">
        <f>IF(AND($P130&lt;&gt;"",$Q130="",$P130&lt;TODAY(),OR($N130="Новый",$N130="В работе",$N130="На проверке (QA)",$N130="Отложен")),"ДА","")</f>
        <v/>
      </c>
      <c r="Z130" s="2" t="n"/>
    </row>
    <row r="131">
      <c r="A131" s="6">
        <f>IF($G131="","","BUG-"&amp;TEXT(ROW()-1,"000"))</f>
        <v/>
      </c>
      <c r="B131" s="7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8" t="n"/>
      <c r="L131" s="8" t="n"/>
      <c r="M131" s="6" t="n"/>
      <c r="N131" s="8" t="n"/>
      <c r="O131" s="6" t="n"/>
      <c r="P131" s="7" t="n"/>
      <c r="Q131" s="7" t="n"/>
      <c r="R131" s="9">
        <f>IF(AND($B131&lt;&gt;"",$Q131&lt;&gt;""),$Q131-$B131,"")</f>
        <v/>
      </c>
      <c r="S131" s="6" t="n"/>
      <c r="T131" s="6" t="n"/>
      <c r="U131" s="6" t="n"/>
      <c r="V131" s="8" t="n"/>
      <c r="W131" s="7" t="n"/>
      <c r="X131" s="8" t="n"/>
      <c r="Y131" s="8">
        <f>IF(AND($P131&lt;&gt;"",$Q131="",$P131&lt;TODAY(),OR($N131="Новый",$N131="В работе",$N131="На проверке (QA)",$N131="Отложен")),"ДА","")</f>
        <v/>
      </c>
      <c r="Z131" s="6" t="n"/>
    </row>
    <row r="132">
      <c r="A132" s="2">
        <f>IF($G132="","","BUG-"&amp;TEXT(ROW()-1,"000"))</f>
        <v/>
      </c>
      <c r="B132" s="3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4" t="n"/>
      <c r="L132" s="4" t="n"/>
      <c r="M132" s="2" t="n"/>
      <c r="N132" s="4" t="n"/>
      <c r="O132" s="2" t="n"/>
      <c r="P132" s="3" t="n"/>
      <c r="Q132" s="3" t="n"/>
      <c r="R132" s="5">
        <f>IF(AND($B132&lt;&gt;"",$Q132&lt;&gt;""),$Q132-$B132,"")</f>
        <v/>
      </c>
      <c r="S132" s="2" t="n"/>
      <c r="T132" s="2" t="n"/>
      <c r="U132" s="2" t="n"/>
      <c r="V132" s="4" t="n"/>
      <c r="W132" s="3" t="n"/>
      <c r="X132" s="4" t="n"/>
      <c r="Y132" s="4">
        <f>IF(AND($P132&lt;&gt;"",$Q132="",$P132&lt;TODAY(),OR($N132="Новый",$N132="В работе",$N132="На проверке (QA)",$N132="Отложен")),"ДА","")</f>
        <v/>
      </c>
      <c r="Z132" s="2" t="n"/>
    </row>
    <row r="133">
      <c r="A133" s="6">
        <f>IF($G133="","","BUG-"&amp;TEXT(ROW()-1,"000"))</f>
        <v/>
      </c>
      <c r="B133" s="7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8" t="n"/>
      <c r="L133" s="8" t="n"/>
      <c r="M133" s="6" t="n"/>
      <c r="N133" s="8" t="n"/>
      <c r="O133" s="6" t="n"/>
      <c r="P133" s="7" t="n"/>
      <c r="Q133" s="7" t="n"/>
      <c r="R133" s="9">
        <f>IF(AND($B133&lt;&gt;"",$Q133&lt;&gt;""),$Q133-$B133,"")</f>
        <v/>
      </c>
      <c r="S133" s="6" t="n"/>
      <c r="T133" s="6" t="n"/>
      <c r="U133" s="6" t="n"/>
      <c r="V133" s="8" t="n"/>
      <c r="W133" s="7" t="n"/>
      <c r="X133" s="8" t="n"/>
      <c r="Y133" s="8">
        <f>IF(AND($P133&lt;&gt;"",$Q133="",$P133&lt;TODAY(),OR($N133="Новый",$N133="В работе",$N133="На проверке (QA)",$N133="Отложен")),"ДА","")</f>
        <v/>
      </c>
      <c r="Z133" s="6" t="n"/>
    </row>
    <row r="134">
      <c r="A134" s="2">
        <f>IF($G134="","","BUG-"&amp;TEXT(ROW()-1,"000"))</f>
        <v/>
      </c>
      <c r="B134" s="3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4" t="n"/>
      <c r="L134" s="4" t="n"/>
      <c r="M134" s="2" t="n"/>
      <c r="N134" s="4" t="n"/>
      <c r="O134" s="2" t="n"/>
      <c r="P134" s="3" t="n"/>
      <c r="Q134" s="3" t="n"/>
      <c r="R134" s="5">
        <f>IF(AND($B134&lt;&gt;"",$Q134&lt;&gt;""),$Q134-$B134,"")</f>
        <v/>
      </c>
      <c r="S134" s="2" t="n"/>
      <c r="T134" s="2" t="n"/>
      <c r="U134" s="2" t="n"/>
      <c r="V134" s="4" t="n"/>
      <c r="W134" s="3" t="n"/>
      <c r="X134" s="4" t="n"/>
      <c r="Y134" s="4">
        <f>IF(AND($P134&lt;&gt;"",$Q134="",$P134&lt;TODAY(),OR($N134="Новый",$N134="В работе",$N134="На проверке (QA)",$N134="Отложен")),"ДА","")</f>
        <v/>
      </c>
      <c r="Z134" s="2" t="n"/>
    </row>
    <row r="135">
      <c r="A135" s="6">
        <f>IF($G135="","","BUG-"&amp;TEXT(ROW()-1,"000"))</f>
        <v/>
      </c>
      <c r="B135" s="7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8" t="n"/>
      <c r="L135" s="8" t="n"/>
      <c r="M135" s="6" t="n"/>
      <c r="N135" s="8" t="n"/>
      <c r="O135" s="6" t="n"/>
      <c r="P135" s="7" t="n"/>
      <c r="Q135" s="7" t="n"/>
      <c r="R135" s="9">
        <f>IF(AND($B135&lt;&gt;"",$Q135&lt;&gt;""),$Q135-$B135,"")</f>
        <v/>
      </c>
      <c r="S135" s="6" t="n"/>
      <c r="T135" s="6" t="n"/>
      <c r="U135" s="6" t="n"/>
      <c r="V135" s="8" t="n"/>
      <c r="W135" s="7" t="n"/>
      <c r="X135" s="8" t="n"/>
      <c r="Y135" s="8">
        <f>IF(AND($P135&lt;&gt;"",$Q135="",$P135&lt;TODAY(),OR($N135="Новый",$N135="В работе",$N135="На проверке (QA)",$N135="Отложен")),"ДА","")</f>
        <v/>
      </c>
      <c r="Z135" s="6" t="n"/>
    </row>
    <row r="136">
      <c r="A136" s="2">
        <f>IF($G136="","","BUG-"&amp;TEXT(ROW()-1,"000"))</f>
        <v/>
      </c>
      <c r="B136" s="3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4" t="n"/>
      <c r="L136" s="4" t="n"/>
      <c r="M136" s="2" t="n"/>
      <c r="N136" s="4" t="n"/>
      <c r="O136" s="2" t="n"/>
      <c r="P136" s="3" t="n"/>
      <c r="Q136" s="3" t="n"/>
      <c r="R136" s="5">
        <f>IF(AND($B136&lt;&gt;"",$Q136&lt;&gt;""),$Q136-$B136,"")</f>
        <v/>
      </c>
      <c r="S136" s="2" t="n"/>
      <c r="T136" s="2" t="n"/>
      <c r="U136" s="2" t="n"/>
      <c r="V136" s="4" t="n"/>
      <c r="W136" s="3" t="n"/>
      <c r="X136" s="4" t="n"/>
      <c r="Y136" s="4">
        <f>IF(AND($P136&lt;&gt;"",$Q136="",$P136&lt;TODAY(),OR($N136="Новый",$N136="В работе",$N136="На проверке (QA)",$N136="Отложен")),"ДА","")</f>
        <v/>
      </c>
      <c r="Z136" s="2" t="n"/>
    </row>
    <row r="137">
      <c r="A137" s="6">
        <f>IF($G137="","","BUG-"&amp;TEXT(ROW()-1,"000"))</f>
        <v/>
      </c>
      <c r="B137" s="7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8" t="n"/>
      <c r="L137" s="8" t="n"/>
      <c r="M137" s="6" t="n"/>
      <c r="N137" s="8" t="n"/>
      <c r="O137" s="6" t="n"/>
      <c r="P137" s="7" t="n"/>
      <c r="Q137" s="7" t="n"/>
      <c r="R137" s="9">
        <f>IF(AND($B137&lt;&gt;"",$Q137&lt;&gt;""),$Q137-$B137,"")</f>
        <v/>
      </c>
      <c r="S137" s="6" t="n"/>
      <c r="T137" s="6" t="n"/>
      <c r="U137" s="6" t="n"/>
      <c r="V137" s="8" t="n"/>
      <c r="W137" s="7" t="n"/>
      <c r="X137" s="8" t="n"/>
      <c r="Y137" s="8">
        <f>IF(AND($P137&lt;&gt;"",$Q137="",$P137&lt;TODAY(),OR($N137="Новый",$N137="В работе",$N137="На проверке (QA)",$N137="Отложен")),"ДА","")</f>
        <v/>
      </c>
      <c r="Z137" s="6" t="n"/>
    </row>
    <row r="138">
      <c r="A138" s="2">
        <f>IF($G138="","","BUG-"&amp;TEXT(ROW()-1,"000"))</f>
        <v/>
      </c>
      <c r="B138" s="3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4" t="n"/>
      <c r="L138" s="4" t="n"/>
      <c r="M138" s="2" t="n"/>
      <c r="N138" s="4" t="n"/>
      <c r="O138" s="2" t="n"/>
      <c r="P138" s="3" t="n"/>
      <c r="Q138" s="3" t="n"/>
      <c r="R138" s="5">
        <f>IF(AND($B138&lt;&gt;"",$Q138&lt;&gt;""),$Q138-$B138,"")</f>
        <v/>
      </c>
      <c r="S138" s="2" t="n"/>
      <c r="T138" s="2" t="n"/>
      <c r="U138" s="2" t="n"/>
      <c r="V138" s="4" t="n"/>
      <c r="W138" s="3" t="n"/>
      <c r="X138" s="4" t="n"/>
      <c r="Y138" s="4">
        <f>IF(AND($P138&lt;&gt;"",$Q138="",$P138&lt;TODAY(),OR($N138="Новый",$N138="В работе",$N138="На проверке (QA)",$N138="Отложен")),"ДА","")</f>
        <v/>
      </c>
      <c r="Z138" s="2" t="n"/>
    </row>
    <row r="139">
      <c r="A139" s="6">
        <f>IF($G139="","","BUG-"&amp;TEXT(ROW()-1,"000"))</f>
        <v/>
      </c>
      <c r="B139" s="7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8" t="n"/>
      <c r="L139" s="8" t="n"/>
      <c r="M139" s="6" t="n"/>
      <c r="N139" s="8" t="n"/>
      <c r="O139" s="6" t="n"/>
      <c r="P139" s="7" t="n"/>
      <c r="Q139" s="7" t="n"/>
      <c r="R139" s="9">
        <f>IF(AND($B139&lt;&gt;"",$Q139&lt;&gt;""),$Q139-$B139,"")</f>
        <v/>
      </c>
      <c r="S139" s="6" t="n"/>
      <c r="T139" s="6" t="n"/>
      <c r="U139" s="6" t="n"/>
      <c r="V139" s="8" t="n"/>
      <c r="W139" s="7" t="n"/>
      <c r="X139" s="8" t="n"/>
      <c r="Y139" s="8">
        <f>IF(AND($P139&lt;&gt;"",$Q139="",$P139&lt;TODAY(),OR($N139="Новый",$N139="В работе",$N139="На проверке (QA)",$N139="Отложен")),"ДА","")</f>
        <v/>
      </c>
      <c r="Z139" s="6" t="n"/>
    </row>
    <row r="140">
      <c r="A140" s="2">
        <f>IF($G140="","","BUG-"&amp;TEXT(ROW()-1,"000"))</f>
        <v/>
      </c>
      <c r="B140" s="3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4" t="n"/>
      <c r="L140" s="4" t="n"/>
      <c r="M140" s="2" t="n"/>
      <c r="N140" s="4" t="n"/>
      <c r="O140" s="2" t="n"/>
      <c r="P140" s="3" t="n"/>
      <c r="Q140" s="3" t="n"/>
      <c r="R140" s="5">
        <f>IF(AND($B140&lt;&gt;"",$Q140&lt;&gt;""),$Q140-$B140,"")</f>
        <v/>
      </c>
      <c r="S140" s="2" t="n"/>
      <c r="T140" s="2" t="n"/>
      <c r="U140" s="2" t="n"/>
      <c r="V140" s="4" t="n"/>
      <c r="W140" s="3" t="n"/>
      <c r="X140" s="4" t="n"/>
      <c r="Y140" s="4">
        <f>IF(AND($P140&lt;&gt;"",$Q140="",$P140&lt;TODAY(),OR($N140="Новый",$N140="В работе",$N140="На проверке (QA)",$N140="Отложен")),"ДА","")</f>
        <v/>
      </c>
      <c r="Z140" s="2" t="n"/>
    </row>
    <row r="141">
      <c r="A141" s="6">
        <f>IF($G141="","","BUG-"&amp;TEXT(ROW()-1,"000"))</f>
        <v/>
      </c>
      <c r="B141" s="7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8" t="n"/>
      <c r="L141" s="8" t="n"/>
      <c r="M141" s="6" t="n"/>
      <c r="N141" s="8" t="n"/>
      <c r="O141" s="6" t="n"/>
      <c r="P141" s="7" t="n"/>
      <c r="Q141" s="7" t="n"/>
      <c r="R141" s="9">
        <f>IF(AND($B141&lt;&gt;"",$Q141&lt;&gt;""),$Q141-$B141,"")</f>
        <v/>
      </c>
      <c r="S141" s="6" t="n"/>
      <c r="T141" s="6" t="n"/>
      <c r="U141" s="6" t="n"/>
      <c r="V141" s="8" t="n"/>
      <c r="W141" s="7" t="n"/>
      <c r="X141" s="8" t="n"/>
      <c r="Y141" s="8">
        <f>IF(AND($P141&lt;&gt;"",$Q141="",$P141&lt;TODAY(),OR($N141="Новый",$N141="В работе",$N141="На проверке (QA)",$N141="Отложен")),"ДА","")</f>
        <v/>
      </c>
      <c r="Z141" s="6" t="n"/>
    </row>
    <row r="142">
      <c r="A142" s="2">
        <f>IF($G142="","","BUG-"&amp;TEXT(ROW()-1,"000"))</f>
        <v/>
      </c>
      <c r="B142" s="3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4" t="n"/>
      <c r="L142" s="4" t="n"/>
      <c r="M142" s="2" t="n"/>
      <c r="N142" s="4" t="n"/>
      <c r="O142" s="2" t="n"/>
      <c r="P142" s="3" t="n"/>
      <c r="Q142" s="3" t="n"/>
      <c r="R142" s="5">
        <f>IF(AND($B142&lt;&gt;"",$Q142&lt;&gt;""),$Q142-$B142,"")</f>
        <v/>
      </c>
      <c r="S142" s="2" t="n"/>
      <c r="T142" s="2" t="n"/>
      <c r="U142" s="2" t="n"/>
      <c r="V142" s="4" t="n"/>
      <c r="W142" s="3" t="n"/>
      <c r="X142" s="4" t="n"/>
      <c r="Y142" s="4">
        <f>IF(AND($P142&lt;&gt;"",$Q142="",$P142&lt;TODAY(),OR($N142="Новый",$N142="В работе",$N142="На проверке (QA)",$N142="Отложен")),"ДА","")</f>
        <v/>
      </c>
      <c r="Z142" s="2" t="n"/>
    </row>
    <row r="143">
      <c r="A143" s="6">
        <f>IF($G143="","","BUG-"&amp;TEXT(ROW()-1,"000"))</f>
        <v/>
      </c>
      <c r="B143" s="7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8" t="n"/>
      <c r="L143" s="8" t="n"/>
      <c r="M143" s="6" t="n"/>
      <c r="N143" s="8" t="n"/>
      <c r="O143" s="6" t="n"/>
      <c r="P143" s="7" t="n"/>
      <c r="Q143" s="7" t="n"/>
      <c r="R143" s="9">
        <f>IF(AND($B143&lt;&gt;"",$Q143&lt;&gt;""),$Q143-$B143,"")</f>
        <v/>
      </c>
      <c r="S143" s="6" t="n"/>
      <c r="T143" s="6" t="n"/>
      <c r="U143" s="6" t="n"/>
      <c r="V143" s="8" t="n"/>
      <c r="W143" s="7" t="n"/>
      <c r="X143" s="8" t="n"/>
      <c r="Y143" s="8">
        <f>IF(AND($P143&lt;&gt;"",$Q143="",$P143&lt;TODAY(),OR($N143="Новый",$N143="В работе",$N143="На проверке (QA)",$N143="Отложен")),"ДА","")</f>
        <v/>
      </c>
      <c r="Z143" s="6" t="n"/>
    </row>
    <row r="144">
      <c r="A144" s="2">
        <f>IF($G144="","","BUG-"&amp;TEXT(ROW()-1,"000"))</f>
        <v/>
      </c>
      <c r="B144" s="3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4" t="n"/>
      <c r="L144" s="4" t="n"/>
      <c r="M144" s="2" t="n"/>
      <c r="N144" s="4" t="n"/>
      <c r="O144" s="2" t="n"/>
      <c r="P144" s="3" t="n"/>
      <c r="Q144" s="3" t="n"/>
      <c r="R144" s="5">
        <f>IF(AND($B144&lt;&gt;"",$Q144&lt;&gt;""),$Q144-$B144,"")</f>
        <v/>
      </c>
      <c r="S144" s="2" t="n"/>
      <c r="T144" s="2" t="n"/>
      <c r="U144" s="2" t="n"/>
      <c r="V144" s="4" t="n"/>
      <c r="W144" s="3" t="n"/>
      <c r="X144" s="4" t="n"/>
      <c r="Y144" s="4">
        <f>IF(AND($P144&lt;&gt;"",$Q144="",$P144&lt;TODAY(),OR($N144="Новый",$N144="В работе",$N144="На проверке (QA)",$N144="Отложен")),"ДА","")</f>
        <v/>
      </c>
      <c r="Z144" s="2" t="n"/>
    </row>
    <row r="145">
      <c r="A145" s="6">
        <f>IF($G145="","","BUG-"&amp;TEXT(ROW()-1,"000"))</f>
        <v/>
      </c>
      <c r="B145" s="7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8" t="n"/>
      <c r="L145" s="8" t="n"/>
      <c r="M145" s="6" t="n"/>
      <c r="N145" s="8" t="n"/>
      <c r="O145" s="6" t="n"/>
      <c r="P145" s="7" t="n"/>
      <c r="Q145" s="7" t="n"/>
      <c r="R145" s="9">
        <f>IF(AND($B145&lt;&gt;"",$Q145&lt;&gt;""),$Q145-$B145,"")</f>
        <v/>
      </c>
      <c r="S145" s="6" t="n"/>
      <c r="T145" s="6" t="n"/>
      <c r="U145" s="6" t="n"/>
      <c r="V145" s="8" t="n"/>
      <c r="W145" s="7" t="n"/>
      <c r="X145" s="8" t="n"/>
      <c r="Y145" s="8">
        <f>IF(AND($P145&lt;&gt;"",$Q145="",$P145&lt;TODAY(),OR($N145="Новый",$N145="В работе",$N145="На проверке (QA)",$N145="Отложен")),"ДА","")</f>
        <v/>
      </c>
      <c r="Z145" s="6" t="n"/>
    </row>
    <row r="146">
      <c r="A146" s="2">
        <f>IF($G146="","","BUG-"&amp;TEXT(ROW()-1,"000"))</f>
        <v/>
      </c>
      <c r="B146" s="3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4" t="n"/>
      <c r="L146" s="4" t="n"/>
      <c r="M146" s="2" t="n"/>
      <c r="N146" s="4" t="n"/>
      <c r="O146" s="2" t="n"/>
      <c r="P146" s="3" t="n"/>
      <c r="Q146" s="3" t="n"/>
      <c r="R146" s="5">
        <f>IF(AND($B146&lt;&gt;"",$Q146&lt;&gt;""),$Q146-$B146,"")</f>
        <v/>
      </c>
      <c r="S146" s="2" t="n"/>
      <c r="T146" s="2" t="n"/>
      <c r="U146" s="2" t="n"/>
      <c r="V146" s="4" t="n"/>
      <c r="W146" s="3" t="n"/>
      <c r="X146" s="4" t="n"/>
      <c r="Y146" s="4">
        <f>IF(AND($P146&lt;&gt;"",$Q146="",$P146&lt;TODAY(),OR($N146="Новый",$N146="В работе",$N146="На проверке (QA)",$N146="Отложен")),"ДА","")</f>
        <v/>
      </c>
      <c r="Z146" s="2" t="n"/>
    </row>
    <row r="147">
      <c r="A147" s="6">
        <f>IF($G147="","","BUG-"&amp;TEXT(ROW()-1,"000"))</f>
        <v/>
      </c>
      <c r="B147" s="7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8" t="n"/>
      <c r="L147" s="8" t="n"/>
      <c r="M147" s="6" t="n"/>
      <c r="N147" s="8" t="n"/>
      <c r="O147" s="6" t="n"/>
      <c r="P147" s="7" t="n"/>
      <c r="Q147" s="7" t="n"/>
      <c r="R147" s="9">
        <f>IF(AND($B147&lt;&gt;"",$Q147&lt;&gt;""),$Q147-$B147,"")</f>
        <v/>
      </c>
      <c r="S147" s="6" t="n"/>
      <c r="T147" s="6" t="n"/>
      <c r="U147" s="6" t="n"/>
      <c r="V147" s="8" t="n"/>
      <c r="W147" s="7" t="n"/>
      <c r="X147" s="8" t="n"/>
      <c r="Y147" s="8">
        <f>IF(AND($P147&lt;&gt;"",$Q147="",$P147&lt;TODAY(),OR($N147="Новый",$N147="В работе",$N147="На проверке (QA)",$N147="Отложен")),"ДА","")</f>
        <v/>
      </c>
      <c r="Z147" s="6" t="n"/>
    </row>
    <row r="148">
      <c r="A148" s="2">
        <f>IF($G148="","","BUG-"&amp;TEXT(ROW()-1,"000"))</f>
        <v/>
      </c>
      <c r="B148" s="3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4" t="n"/>
      <c r="L148" s="4" t="n"/>
      <c r="M148" s="2" t="n"/>
      <c r="N148" s="4" t="n"/>
      <c r="O148" s="2" t="n"/>
      <c r="P148" s="3" t="n"/>
      <c r="Q148" s="3" t="n"/>
      <c r="R148" s="5">
        <f>IF(AND($B148&lt;&gt;"",$Q148&lt;&gt;""),$Q148-$B148,"")</f>
        <v/>
      </c>
      <c r="S148" s="2" t="n"/>
      <c r="T148" s="2" t="n"/>
      <c r="U148" s="2" t="n"/>
      <c r="V148" s="4" t="n"/>
      <c r="W148" s="3" t="n"/>
      <c r="X148" s="4" t="n"/>
      <c r="Y148" s="4">
        <f>IF(AND($P148&lt;&gt;"",$Q148="",$P148&lt;TODAY(),OR($N148="Новый",$N148="В работе",$N148="На проверке (QA)",$N148="Отложен")),"ДА","")</f>
        <v/>
      </c>
      <c r="Z148" s="2" t="n"/>
    </row>
    <row r="149">
      <c r="A149" s="6">
        <f>IF($G149="","","BUG-"&amp;TEXT(ROW()-1,"000"))</f>
        <v/>
      </c>
      <c r="B149" s="7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8" t="n"/>
      <c r="L149" s="8" t="n"/>
      <c r="M149" s="6" t="n"/>
      <c r="N149" s="8" t="n"/>
      <c r="O149" s="6" t="n"/>
      <c r="P149" s="7" t="n"/>
      <c r="Q149" s="7" t="n"/>
      <c r="R149" s="9">
        <f>IF(AND($B149&lt;&gt;"",$Q149&lt;&gt;""),$Q149-$B149,"")</f>
        <v/>
      </c>
      <c r="S149" s="6" t="n"/>
      <c r="T149" s="6" t="n"/>
      <c r="U149" s="6" t="n"/>
      <c r="V149" s="8" t="n"/>
      <c r="W149" s="7" t="n"/>
      <c r="X149" s="8" t="n"/>
      <c r="Y149" s="8">
        <f>IF(AND($P149&lt;&gt;"",$Q149="",$P149&lt;TODAY(),OR($N149="Новый",$N149="В работе",$N149="На проверке (QA)",$N149="Отложен")),"ДА","")</f>
        <v/>
      </c>
      <c r="Z149" s="6" t="n"/>
    </row>
    <row r="150">
      <c r="A150" s="2">
        <f>IF($G150="","","BUG-"&amp;TEXT(ROW()-1,"000"))</f>
        <v/>
      </c>
      <c r="B150" s="3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4" t="n"/>
      <c r="L150" s="4" t="n"/>
      <c r="M150" s="2" t="n"/>
      <c r="N150" s="4" t="n"/>
      <c r="O150" s="2" t="n"/>
      <c r="P150" s="3" t="n"/>
      <c r="Q150" s="3" t="n"/>
      <c r="R150" s="5">
        <f>IF(AND($B150&lt;&gt;"",$Q150&lt;&gt;""),$Q150-$B150,"")</f>
        <v/>
      </c>
      <c r="S150" s="2" t="n"/>
      <c r="T150" s="2" t="n"/>
      <c r="U150" s="2" t="n"/>
      <c r="V150" s="4" t="n"/>
      <c r="W150" s="3" t="n"/>
      <c r="X150" s="4" t="n"/>
      <c r="Y150" s="4">
        <f>IF(AND($P150&lt;&gt;"",$Q150="",$P150&lt;TODAY(),OR($N150="Новый",$N150="В работе",$N150="На проверке (QA)",$N150="Отложен")),"ДА","")</f>
        <v/>
      </c>
      <c r="Z150" s="2" t="n"/>
    </row>
    <row r="151">
      <c r="A151" s="6">
        <f>IF($G151="","","BUG-"&amp;TEXT(ROW()-1,"000"))</f>
        <v/>
      </c>
      <c r="B151" s="7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8" t="n"/>
      <c r="L151" s="8" t="n"/>
      <c r="M151" s="6" t="n"/>
      <c r="N151" s="8" t="n"/>
      <c r="O151" s="6" t="n"/>
      <c r="P151" s="7" t="n"/>
      <c r="Q151" s="7" t="n"/>
      <c r="R151" s="9">
        <f>IF(AND($B151&lt;&gt;"",$Q151&lt;&gt;""),$Q151-$B151,"")</f>
        <v/>
      </c>
      <c r="S151" s="6" t="n"/>
      <c r="T151" s="6" t="n"/>
      <c r="U151" s="6" t="n"/>
      <c r="V151" s="8" t="n"/>
      <c r="W151" s="7" t="n"/>
      <c r="X151" s="8" t="n"/>
      <c r="Y151" s="8">
        <f>IF(AND($P151&lt;&gt;"",$Q151="",$P151&lt;TODAY(),OR($N151="Новый",$N151="В работе",$N151="На проверке (QA)",$N151="Отложен")),"ДА","")</f>
        <v/>
      </c>
      <c r="Z151" s="6" t="n"/>
    </row>
    <row r="152">
      <c r="A152" s="2">
        <f>IF($G152="","","BUG-"&amp;TEXT(ROW()-1,"000"))</f>
        <v/>
      </c>
      <c r="B152" s="3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4" t="n"/>
      <c r="L152" s="4" t="n"/>
      <c r="M152" s="2" t="n"/>
      <c r="N152" s="4" t="n"/>
      <c r="O152" s="2" t="n"/>
      <c r="P152" s="3" t="n"/>
      <c r="Q152" s="3" t="n"/>
      <c r="R152" s="5">
        <f>IF(AND($B152&lt;&gt;"",$Q152&lt;&gt;""),$Q152-$B152,"")</f>
        <v/>
      </c>
      <c r="S152" s="2" t="n"/>
      <c r="T152" s="2" t="n"/>
      <c r="U152" s="2" t="n"/>
      <c r="V152" s="4" t="n"/>
      <c r="W152" s="3" t="n"/>
      <c r="X152" s="4" t="n"/>
      <c r="Y152" s="4">
        <f>IF(AND($P152&lt;&gt;"",$Q152="",$P152&lt;TODAY(),OR($N152="Новый",$N152="В работе",$N152="На проверке (QA)",$N152="Отложен")),"ДА","")</f>
        <v/>
      </c>
      <c r="Z152" s="2" t="n"/>
    </row>
    <row r="153">
      <c r="A153" s="6">
        <f>IF($G153="","","BUG-"&amp;TEXT(ROW()-1,"000"))</f>
        <v/>
      </c>
      <c r="B153" s="7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8" t="n"/>
      <c r="L153" s="8" t="n"/>
      <c r="M153" s="6" t="n"/>
      <c r="N153" s="8" t="n"/>
      <c r="O153" s="6" t="n"/>
      <c r="P153" s="7" t="n"/>
      <c r="Q153" s="7" t="n"/>
      <c r="R153" s="9">
        <f>IF(AND($B153&lt;&gt;"",$Q153&lt;&gt;""),$Q153-$B153,"")</f>
        <v/>
      </c>
      <c r="S153" s="6" t="n"/>
      <c r="T153" s="6" t="n"/>
      <c r="U153" s="6" t="n"/>
      <c r="V153" s="8" t="n"/>
      <c r="W153" s="7" t="n"/>
      <c r="X153" s="8" t="n"/>
      <c r="Y153" s="8">
        <f>IF(AND($P153&lt;&gt;"",$Q153="",$P153&lt;TODAY(),OR($N153="Новый",$N153="В работе",$N153="На проверке (QA)",$N153="Отложен")),"ДА","")</f>
        <v/>
      </c>
      <c r="Z153" s="6" t="n"/>
    </row>
    <row r="154">
      <c r="A154" s="2">
        <f>IF($G154="","","BUG-"&amp;TEXT(ROW()-1,"000"))</f>
        <v/>
      </c>
      <c r="B154" s="3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4" t="n"/>
      <c r="L154" s="4" t="n"/>
      <c r="M154" s="2" t="n"/>
      <c r="N154" s="4" t="n"/>
      <c r="O154" s="2" t="n"/>
      <c r="P154" s="3" t="n"/>
      <c r="Q154" s="3" t="n"/>
      <c r="R154" s="5">
        <f>IF(AND($B154&lt;&gt;"",$Q154&lt;&gt;""),$Q154-$B154,"")</f>
        <v/>
      </c>
      <c r="S154" s="2" t="n"/>
      <c r="T154" s="2" t="n"/>
      <c r="U154" s="2" t="n"/>
      <c r="V154" s="4" t="n"/>
      <c r="W154" s="3" t="n"/>
      <c r="X154" s="4" t="n"/>
      <c r="Y154" s="4">
        <f>IF(AND($P154&lt;&gt;"",$Q154="",$P154&lt;TODAY(),OR($N154="Новый",$N154="В работе",$N154="На проверке (QA)",$N154="Отложен")),"ДА","")</f>
        <v/>
      </c>
      <c r="Z154" s="2" t="n"/>
    </row>
    <row r="155">
      <c r="A155" s="6">
        <f>IF($G155="","","BUG-"&amp;TEXT(ROW()-1,"000"))</f>
        <v/>
      </c>
      <c r="B155" s="7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8" t="n"/>
      <c r="L155" s="8" t="n"/>
      <c r="M155" s="6" t="n"/>
      <c r="N155" s="8" t="n"/>
      <c r="O155" s="6" t="n"/>
      <c r="P155" s="7" t="n"/>
      <c r="Q155" s="7" t="n"/>
      <c r="R155" s="9">
        <f>IF(AND($B155&lt;&gt;"",$Q155&lt;&gt;""),$Q155-$B155,"")</f>
        <v/>
      </c>
      <c r="S155" s="6" t="n"/>
      <c r="T155" s="6" t="n"/>
      <c r="U155" s="6" t="n"/>
      <c r="V155" s="8" t="n"/>
      <c r="W155" s="7" t="n"/>
      <c r="X155" s="8" t="n"/>
      <c r="Y155" s="8">
        <f>IF(AND($P155&lt;&gt;"",$Q155="",$P155&lt;TODAY(),OR($N155="Новый",$N155="В работе",$N155="На проверке (QA)",$N155="Отложен")),"ДА","")</f>
        <v/>
      </c>
      <c r="Z155" s="6" t="n"/>
    </row>
    <row r="156">
      <c r="A156" s="2">
        <f>IF($G156="","","BUG-"&amp;TEXT(ROW()-1,"000"))</f>
        <v/>
      </c>
      <c r="B156" s="3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4" t="n"/>
      <c r="L156" s="4" t="n"/>
      <c r="M156" s="2" t="n"/>
      <c r="N156" s="4" t="n"/>
      <c r="O156" s="2" t="n"/>
      <c r="P156" s="3" t="n"/>
      <c r="Q156" s="3" t="n"/>
      <c r="R156" s="5">
        <f>IF(AND($B156&lt;&gt;"",$Q156&lt;&gt;""),$Q156-$B156,"")</f>
        <v/>
      </c>
      <c r="S156" s="2" t="n"/>
      <c r="T156" s="2" t="n"/>
      <c r="U156" s="2" t="n"/>
      <c r="V156" s="4" t="n"/>
      <c r="W156" s="3" t="n"/>
      <c r="X156" s="4" t="n"/>
      <c r="Y156" s="4">
        <f>IF(AND($P156&lt;&gt;"",$Q156="",$P156&lt;TODAY(),OR($N156="Новый",$N156="В работе",$N156="На проверке (QA)",$N156="Отложен")),"ДА","")</f>
        <v/>
      </c>
      <c r="Z156" s="2" t="n"/>
    </row>
    <row r="157">
      <c r="A157" s="6">
        <f>IF($G157="","","BUG-"&amp;TEXT(ROW()-1,"000"))</f>
        <v/>
      </c>
      <c r="B157" s="7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8" t="n"/>
      <c r="L157" s="8" t="n"/>
      <c r="M157" s="6" t="n"/>
      <c r="N157" s="8" t="n"/>
      <c r="O157" s="6" t="n"/>
      <c r="P157" s="7" t="n"/>
      <c r="Q157" s="7" t="n"/>
      <c r="R157" s="9">
        <f>IF(AND($B157&lt;&gt;"",$Q157&lt;&gt;""),$Q157-$B157,"")</f>
        <v/>
      </c>
      <c r="S157" s="6" t="n"/>
      <c r="T157" s="6" t="n"/>
      <c r="U157" s="6" t="n"/>
      <c r="V157" s="8" t="n"/>
      <c r="W157" s="7" t="n"/>
      <c r="X157" s="8" t="n"/>
      <c r="Y157" s="8">
        <f>IF(AND($P157&lt;&gt;"",$Q157="",$P157&lt;TODAY(),OR($N157="Новый",$N157="В работе",$N157="На проверке (QA)",$N157="Отложен")),"ДА","")</f>
        <v/>
      </c>
      <c r="Z157" s="6" t="n"/>
    </row>
    <row r="158">
      <c r="A158" s="2">
        <f>IF($G158="","","BUG-"&amp;TEXT(ROW()-1,"000"))</f>
        <v/>
      </c>
      <c r="B158" s="3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4" t="n"/>
      <c r="L158" s="4" t="n"/>
      <c r="M158" s="2" t="n"/>
      <c r="N158" s="4" t="n"/>
      <c r="O158" s="2" t="n"/>
      <c r="P158" s="3" t="n"/>
      <c r="Q158" s="3" t="n"/>
      <c r="R158" s="5">
        <f>IF(AND($B158&lt;&gt;"",$Q158&lt;&gt;""),$Q158-$B158,"")</f>
        <v/>
      </c>
      <c r="S158" s="2" t="n"/>
      <c r="T158" s="2" t="n"/>
      <c r="U158" s="2" t="n"/>
      <c r="V158" s="4" t="n"/>
      <c r="W158" s="3" t="n"/>
      <c r="X158" s="4" t="n"/>
      <c r="Y158" s="4">
        <f>IF(AND($P158&lt;&gt;"",$Q158="",$P158&lt;TODAY(),OR($N158="Новый",$N158="В работе",$N158="На проверке (QA)",$N158="Отложен")),"ДА","")</f>
        <v/>
      </c>
      <c r="Z158" s="2" t="n"/>
    </row>
    <row r="159">
      <c r="A159" s="6">
        <f>IF($G159="","","BUG-"&amp;TEXT(ROW()-1,"000"))</f>
        <v/>
      </c>
      <c r="B159" s="7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8" t="n"/>
      <c r="L159" s="8" t="n"/>
      <c r="M159" s="6" t="n"/>
      <c r="N159" s="8" t="n"/>
      <c r="O159" s="6" t="n"/>
      <c r="P159" s="7" t="n"/>
      <c r="Q159" s="7" t="n"/>
      <c r="R159" s="9">
        <f>IF(AND($B159&lt;&gt;"",$Q159&lt;&gt;""),$Q159-$B159,"")</f>
        <v/>
      </c>
      <c r="S159" s="6" t="n"/>
      <c r="T159" s="6" t="n"/>
      <c r="U159" s="6" t="n"/>
      <c r="V159" s="8" t="n"/>
      <c r="W159" s="7" t="n"/>
      <c r="X159" s="8" t="n"/>
      <c r="Y159" s="8">
        <f>IF(AND($P159&lt;&gt;"",$Q159="",$P159&lt;TODAY(),OR($N159="Новый",$N159="В работе",$N159="На проверке (QA)",$N159="Отложен")),"ДА","")</f>
        <v/>
      </c>
      <c r="Z159" s="6" t="n"/>
    </row>
    <row r="160">
      <c r="A160" s="2">
        <f>IF($G160="","","BUG-"&amp;TEXT(ROW()-1,"000"))</f>
        <v/>
      </c>
      <c r="B160" s="3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4" t="n"/>
      <c r="L160" s="4" t="n"/>
      <c r="M160" s="2" t="n"/>
      <c r="N160" s="4" t="n"/>
      <c r="O160" s="2" t="n"/>
      <c r="P160" s="3" t="n"/>
      <c r="Q160" s="3" t="n"/>
      <c r="R160" s="5">
        <f>IF(AND($B160&lt;&gt;"",$Q160&lt;&gt;""),$Q160-$B160,"")</f>
        <v/>
      </c>
      <c r="S160" s="2" t="n"/>
      <c r="T160" s="2" t="n"/>
      <c r="U160" s="2" t="n"/>
      <c r="V160" s="4" t="n"/>
      <c r="W160" s="3" t="n"/>
      <c r="X160" s="4" t="n"/>
      <c r="Y160" s="4">
        <f>IF(AND($P160&lt;&gt;"",$Q160="",$P160&lt;TODAY(),OR($N160="Новый",$N160="В работе",$N160="На проверке (QA)",$N160="Отложен")),"ДА","")</f>
        <v/>
      </c>
      <c r="Z160" s="2" t="n"/>
    </row>
    <row r="161">
      <c r="A161" s="6">
        <f>IF($G161="","","BUG-"&amp;TEXT(ROW()-1,"000"))</f>
        <v/>
      </c>
      <c r="B161" s="7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8" t="n"/>
      <c r="L161" s="8" t="n"/>
      <c r="M161" s="6" t="n"/>
      <c r="N161" s="8" t="n"/>
      <c r="O161" s="6" t="n"/>
      <c r="P161" s="7" t="n"/>
      <c r="Q161" s="7" t="n"/>
      <c r="R161" s="9">
        <f>IF(AND($B161&lt;&gt;"",$Q161&lt;&gt;""),$Q161-$B161,"")</f>
        <v/>
      </c>
      <c r="S161" s="6" t="n"/>
      <c r="T161" s="6" t="n"/>
      <c r="U161" s="6" t="n"/>
      <c r="V161" s="8" t="n"/>
      <c r="W161" s="7" t="n"/>
      <c r="X161" s="8" t="n"/>
      <c r="Y161" s="8">
        <f>IF(AND($P161&lt;&gt;"",$Q161="",$P161&lt;TODAY(),OR($N161="Новый",$N161="В работе",$N161="На проверке (QA)",$N161="Отложен")),"ДА","")</f>
        <v/>
      </c>
      <c r="Z161" s="6" t="n"/>
    </row>
    <row r="162">
      <c r="A162" s="2">
        <f>IF($G162="","","BUG-"&amp;TEXT(ROW()-1,"000"))</f>
        <v/>
      </c>
      <c r="B162" s="3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4" t="n"/>
      <c r="L162" s="4" t="n"/>
      <c r="M162" s="2" t="n"/>
      <c r="N162" s="4" t="n"/>
      <c r="O162" s="2" t="n"/>
      <c r="P162" s="3" t="n"/>
      <c r="Q162" s="3" t="n"/>
      <c r="R162" s="5">
        <f>IF(AND($B162&lt;&gt;"",$Q162&lt;&gt;""),$Q162-$B162,"")</f>
        <v/>
      </c>
      <c r="S162" s="2" t="n"/>
      <c r="T162" s="2" t="n"/>
      <c r="U162" s="2" t="n"/>
      <c r="V162" s="4" t="n"/>
      <c r="W162" s="3" t="n"/>
      <c r="X162" s="4" t="n"/>
      <c r="Y162" s="4">
        <f>IF(AND($P162&lt;&gt;"",$Q162="",$P162&lt;TODAY(),OR($N162="Новый",$N162="В работе",$N162="На проверке (QA)",$N162="Отложен")),"ДА","")</f>
        <v/>
      </c>
      <c r="Z162" s="2" t="n"/>
    </row>
    <row r="163">
      <c r="A163" s="6">
        <f>IF($G163="","","BUG-"&amp;TEXT(ROW()-1,"000"))</f>
        <v/>
      </c>
      <c r="B163" s="7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8" t="n"/>
      <c r="L163" s="8" t="n"/>
      <c r="M163" s="6" t="n"/>
      <c r="N163" s="8" t="n"/>
      <c r="O163" s="6" t="n"/>
      <c r="P163" s="7" t="n"/>
      <c r="Q163" s="7" t="n"/>
      <c r="R163" s="9">
        <f>IF(AND($B163&lt;&gt;"",$Q163&lt;&gt;""),$Q163-$B163,"")</f>
        <v/>
      </c>
      <c r="S163" s="6" t="n"/>
      <c r="T163" s="6" t="n"/>
      <c r="U163" s="6" t="n"/>
      <c r="V163" s="8" t="n"/>
      <c r="W163" s="7" t="n"/>
      <c r="X163" s="8" t="n"/>
      <c r="Y163" s="8">
        <f>IF(AND($P163&lt;&gt;"",$Q163="",$P163&lt;TODAY(),OR($N163="Новый",$N163="В работе",$N163="На проверке (QA)",$N163="Отложен")),"ДА","")</f>
        <v/>
      </c>
      <c r="Z163" s="6" t="n"/>
    </row>
    <row r="164">
      <c r="A164" s="2">
        <f>IF($G164="","","BUG-"&amp;TEXT(ROW()-1,"000"))</f>
        <v/>
      </c>
      <c r="B164" s="3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4" t="n"/>
      <c r="L164" s="4" t="n"/>
      <c r="M164" s="2" t="n"/>
      <c r="N164" s="4" t="n"/>
      <c r="O164" s="2" t="n"/>
      <c r="P164" s="3" t="n"/>
      <c r="Q164" s="3" t="n"/>
      <c r="R164" s="5">
        <f>IF(AND($B164&lt;&gt;"",$Q164&lt;&gt;""),$Q164-$B164,"")</f>
        <v/>
      </c>
      <c r="S164" s="2" t="n"/>
      <c r="T164" s="2" t="n"/>
      <c r="U164" s="2" t="n"/>
      <c r="V164" s="4" t="n"/>
      <c r="W164" s="3" t="n"/>
      <c r="X164" s="4" t="n"/>
      <c r="Y164" s="4">
        <f>IF(AND($P164&lt;&gt;"",$Q164="",$P164&lt;TODAY(),OR($N164="Новый",$N164="В работе",$N164="На проверке (QA)",$N164="Отложен")),"ДА","")</f>
        <v/>
      </c>
      <c r="Z164" s="2" t="n"/>
    </row>
    <row r="165">
      <c r="A165" s="6">
        <f>IF($G165="","","BUG-"&amp;TEXT(ROW()-1,"000"))</f>
        <v/>
      </c>
      <c r="B165" s="7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8" t="n"/>
      <c r="L165" s="8" t="n"/>
      <c r="M165" s="6" t="n"/>
      <c r="N165" s="8" t="n"/>
      <c r="O165" s="6" t="n"/>
      <c r="P165" s="7" t="n"/>
      <c r="Q165" s="7" t="n"/>
      <c r="R165" s="9">
        <f>IF(AND($B165&lt;&gt;"",$Q165&lt;&gt;""),$Q165-$B165,"")</f>
        <v/>
      </c>
      <c r="S165" s="6" t="n"/>
      <c r="T165" s="6" t="n"/>
      <c r="U165" s="6" t="n"/>
      <c r="V165" s="8" t="n"/>
      <c r="W165" s="7" t="n"/>
      <c r="X165" s="8" t="n"/>
      <c r="Y165" s="8">
        <f>IF(AND($P165&lt;&gt;"",$Q165="",$P165&lt;TODAY(),OR($N165="Новый",$N165="В работе",$N165="На проверке (QA)",$N165="Отложен")),"ДА","")</f>
        <v/>
      </c>
      <c r="Z165" s="6" t="n"/>
    </row>
    <row r="166">
      <c r="A166" s="2">
        <f>IF($G166="","","BUG-"&amp;TEXT(ROW()-1,"000"))</f>
        <v/>
      </c>
      <c r="B166" s="3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4" t="n"/>
      <c r="L166" s="4" t="n"/>
      <c r="M166" s="2" t="n"/>
      <c r="N166" s="4" t="n"/>
      <c r="O166" s="2" t="n"/>
      <c r="P166" s="3" t="n"/>
      <c r="Q166" s="3" t="n"/>
      <c r="R166" s="5">
        <f>IF(AND($B166&lt;&gt;"",$Q166&lt;&gt;""),$Q166-$B166,"")</f>
        <v/>
      </c>
      <c r="S166" s="2" t="n"/>
      <c r="T166" s="2" t="n"/>
      <c r="U166" s="2" t="n"/>
      <c r="V166" s="4" t="n"/>
      <c r="W166" s="3" t="n"/>
      <c r="X166" s="4" t="n"/>
      <c r="Y166" s="4">
        <f>IF(AND($P166&lt;&gt;"",$Q166="",$P166&lt;TODAY(),OR($N166="Новый",$N166="В работе",$N166="На проверке (QA)",$N166="Отложен")),"ДА","")</f>
        <v/>
      </c>
      <c r="Z166" s="2" t="n"/>
    </row>
    <row r="167">
      <c r="A167" s="6">
        <f>IF($G167="","","BUG-"&amp;TEXT(ROW()-1,"000"))</f>
        <v/>
      </c>
      <c r="B167" s="7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8" t="n"/>
      <c r="L167" s="8" t="n"/>
      <c r="M167" s="6" t="n"/>
      <c r="N167" s="8" t="n"/>
      <c r="O167" s="6" t="n"/>
      <c r="P167" s="7" t="n"/>
      <c r="Q167" s="7" t="n"/>
      <c r="R167" s="9">
        <f>IF(AND($B167&lt;&gt;"",$Q167&lt;&gt;""),$Q167-$B167,"")</f>
        <v/>
      </c>
      <c r="S167" s="6" t="n"/>
      <c r="T167" s="6" t="n"/>
      <c r="U167" s="6" t="n"/>
      <c r="V167" s="8" t="n"/>
      <c r="W167" s="7" t="n"/>
      <c r="X167" s="8" t="n"/>
      <c r="Y167" s="8">
        <f>IF(AND($P167&lt;&gt;"",$Q167="",$P167&lt;TODAY(),OR($N167="Новый",$N167="В работе",$N167="На проверке (QA)",$N167="Отложен")),"ДА","")</f>
        <v/>
      </c>
      <c r="Z167" s="6" t="n"/>
    </row>
    <row r="168">
      <c r="A168" s="2">
        <f>IF($G168="","","BUG-"&amp;TEXT(ROW()-1,"000"))</f>
        <v/>
      </c>
      <c r="B168" s="3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4" t="n"/>
      <c r="L168" s="4" t="n"/>
      <c r="M168" s="2" t="n"/>
      <c r="N168" s="4" t="n"/>
      <c r="O168" s="2" t="n"/>
      <c r="P168" s="3" t="n"/>
      <c r="Q168" s="3" t="n"/>
      <c r="R168" s="5">
        <f>IF(AND($B168&lt;&gt;"",$Q168&lt;&gt;""),$Q168-$B168,"")</f>
        <v/>
      </c>
      <c r="S168" s="2" t="n"/>
      <c r="T168" s="2" t="n"/>
      <c r="U168" s="2" t="n"/>
      <c r="V168" s="4" t="n"/>
      <c r="W168" s="3" t="n"/>
      <c r="X168" s="4" t="n"/>
      <c r="Y168" s="4">
        <f>IF(AND($P168&lt;&gt;"",$Q168="",$P168&lt;TODAY(),OR($N168="Новый",$N168="В работе",$N168="На проверке (QA)",$N168="Отложен")),"ДА","")</f>
        <v/>
      </c>
      <c r="Z168" s="2" t="n"/>
    </row>
    <row r="169">
      <c r="A169" s="6">
        <f>IF($G169="","","BUG-"&amp;TEXT(ROW()-1,"000"))</f>
        <v/>
      </c>
      <c r="B169" s="7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8" t="n"/>
      <c r="L169" s="8" t="n"/>
      <c r="M169" s="6" t="n"/>
      <c r="N169" s="8" t="n"/>
      <c r="O169" s="6" t="n"/>
      <c r="P169" s="7" t="n"/>
      <c r="Q169" s="7" t="n"/>
      <c r="R169" s="9">
        <f>IF(AND($B169&lt;&gt;"",$Q169&lt;&gt;""),$Q169-$B169,"")</f>
        <v/>
      </c>
      <c r="S169" s="6" t="n"/>
      <c r="T169" s="6" t="n"/>
      <c r="U169" s="6" t="n"/>
      <c r="V169" s="8" t="n"/>
      <c r="W169" s="7" t="n"/>
      <c r="X169" s="8" t="n"/>
      <c r="Y169" s="8">
        <f>IF(AND($P169&lt;&gt;"",$Q169="",$P169&lt;TODAY(),OR($N169="Новый",$N169="В работе",$N169="На проверке (QA)",$N169="Отложен")),"ДА","")</f>
        <v/>
      </c>
      <c r="Z169" s="6" t="n"/>
    </row>
    <row r="170">
      <c r="A170" s="2">
        <f>IF($G170="","","BUG-"&amp;TEXT(ROW()-1,"000"))</f>
        <v/>
      </c>
      <c r="B170" s="3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4" t="n"/>
      <c r="L170" s="4" t="n"/>
      <c r="M170" s="2" t="n"/>
      <c r="N170" s="4" t="n"/>
      <c r="O170" s="2" t="n"/>
      <c r="P170" s="3" t="n"/>
      <c r="Q170" s="3" t="n"/>
      <c r="R170" s="5">
        <f>IF(AND($B170&lt;&gt;"",$Q170&lt;&gt;""),$Q170-$B170,"")</f>
        <v/>
      </c>
      <c r="S170" s="2" t="n"/>
      <c r="T170" s="2" t="n"/>
      <c r="U170" s="2" t="n"/>
      <c r="V170" s="4" t="n"/>
      <c r="W170" s="3" t="n"/>
      <c r="X170" s="4" t="n"/>
      <c r="Y170" s="4">
        <f>IF(AND($P170&lt;&gt;"",$Q170="",$P170&lt;TODAY(),OR($N170="Новый",$N170="В работе",$N170="На проверке (QA)",$N170="Отложен")),"ДА","")</f>
        <v/>
      </c>
      <c r="Z170" s="2" t="n"/>
    </row>
    <row r="171">
      <c r="A171" s="6">
        <f>IF($G171="","","BUG-"&amp;TEXT(ROW()-1,"000"))</f>
        <v/>
      </c>
      <c r="B171" s="7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8" t="n"/>
      <c r="L171" s="8" t="n"/>
      <c r="M171" s="6" t="n"/>
      <c r="N171" s="8" t="n"/>
      <c r="O171" s="6" t="n"/>
      <c r="P171" s="7" t="n"/>
      <c r="Q171" s="7" t="n"/>
      <c r="R171" s="9">
        <f>IF(AND($B171&lt;&gt;"",$Q171&lt;&gt;""),$Q171-$B171,"")</f>
        <v/>
      </c>
      <c r="S171" s="6" t="n"/>
      <c r="T171" s="6" t="n"/>
      <c r="U171" s="6" t="n"/>
      <c r="V171" s="8" t="n"/>
      <c r="W171" s="7" t="n"/>
      <c r="X171" s="8" t="n"/>
      <c r="Y171" s="8">
        <f>IF(AND($P171&lt;&gt;"",$Q171="",$P171&lt;TODAY(),OR($N171="Новый",$N171="В работе",$N171="На проверке (QA)",$N171="Отложен")),"ДА","")</f>
        <v/>
      </c>
      <c r="Z171" s="6" t="n"/>
    </row>
    <row r="172">
      <c r="A172" s="2">
        <f>IF($G172="","","BUG-"&amp;TEXT(ROW()-1,"000"))</f>
        <v/>
      </c>
      <c r="B172" s="3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4" t="n"/>
      <c r="L172" s="4" t="n"/>
      <c r="M172" s="2" t="n"/>
      <c r="N172" s="4" t="n"/>
      <c r="O172" s="2" t="n"/>
      <c r="P172" s="3" t="n"/>
      <c r="Q172" s="3" t="n"/>
      <c r="R172" s="5">
        <f>IF(AND($B172&lt;&gt;"",$Q172&lt;&gt;""),$Q172-$B172,"")</f>
        <v/>
      </c>
      <c r="S172" s="2" t="n"/>
      <c r="T172" s="2" t="n"/>
      <c r="U172" s="2" t="n"/>
      <c r="V172" s="4" t="n"/>
      <c r="W172" s="3" t="n"/>
      <c r="X172" s="4" t="n"/>
      <c r="Y172" s="4">
        <f>IF(AND($P172&lt;&gt;"",$Q172="",$P172&lt;TODAY(),OR($N172="Новый",$N172="В работе",$N172="На проверке (QA)",$N172="Отложен")),"ДА","")</f>
        <v/>
      </c>
      <c r="Z172" s="2" t="n"/>
    </row>
    <row r="173">
      <c r="A173" s="6">
        <f>IF($G173="","","BUG-"&amp;TEXT(ROW()-1,"000"))</f>
        <v/>
      </c>
      <c r="B173" s="7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8" t="n"/>
      <c r="L173" s="8" t="n"/>
      <c r="M173" s="6" t="n"/>
      <c r="N173" s="8" t="n"/>
      <c r="O173" s="6" t="n"/>
      <c r="P173" s="7" t="n"/>
      <c r="Q173" s="7" t="n"/>
      <c r="R173" s="9">
        <f>IF(AND($B173&lt;&gt;"",$Q173&lt;&gt;""),$Q173-$B173,"")</f>
        <v/>
      </c>
      <c r="S173" s="6" t="n"/>
      <c r="T173" s="6" t="n"/>
      <c r="U173" s="6" t="n"/>
      <c r="V173" s="8" t="n"/>
      <c r="W173" s="7" t="n"/>
      <c r="X173" s="8" t="n"/>
      <c r="Y173" s="8">
        <f>IF(AND($P173&lt;&gt;"",$Q173="",$P173&lt;TODAY(),OR($N173="Новый",$N173="В работе",$N173="На проверке (QA)",$N173="Отложен")),"ДА","")</f>
        <v/>
      </c>
      <c r="Z173" s="6" t="n"/>
    </row>
    <row r="174">
      <c r="A174" s="2">
        <f>IF($G174="","","BUG-"&amp;TEXT(ROW()-1,"000"))</f>
        <v/>
      </c>
      <c r="B174" s="3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4" t="n"/>
      <c r="L174" s="4" t="n"/>
      <c r="M174" s="2" t="n"/>
      <c r="N174" s="4" t="n"/>
      <c r="O174" s="2" t="n"/>
      <c r="P174" s="3" t="n"/>
      <c r="Q174" s="3" t="n"/>
      <c r="R174" s="5">
        <f>IF(AND($B174&lt;&gt;"",$Q174&lt;&gt;""),$Q174-$B174,"")</f>
        <v/>
      </c>
      <c r="S174" s="2" t="n"/>
      <c r="T174" s="2" t="n"/>
      <c r="U174" s="2" t="n"/>
      <c r="V174" s="4" t="n"/>
      <c r="W174" s="3" t="n"/>
      <c r="X174" s="4" t="n"/>
      <c r="Y174" s="4">
        <f>IF(AND($P174&lt;&gt;"",$Q174="",$P174&lt;TODAY(),OR($N174="Новый",$N174="В работе",$N174="На проверке (QA)",$N174="Отложен")),"ДА","")</f>
        <v/>
      </c>
      <c r="Z174" s="2" t="n"/>
    </row>
    <row r="175">
      <c r="A175" s="6">
        <f>IF($G175="","","BUG-"&amp;TEXT(ROW()-1,"000"))</f>
        <v/>
      </c>
      <c r="B175" s="7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8" t="n"/>
      <c r="L175" s="8" t="n"/>
      <c r="M175" s="6" t="n"/>
      <c r="N175" s="8" t="n"/>
      <c r="O175" s="6" t="n"/>
      <c r="P175" s="7" t="n"/>
      <c r="Q175" s="7" t="n"/>
      <c r="R175" s="9">
        <f>IF(AND($B175&lt;&gt;"",$Q175&lt;&gt;""),$Q175-$B175,"")</f>
        <v/>
      </c>
      <c r="S175" s="6" t="n"/>
      <c r="T175" s="6" t="n"/>
      <c r="U175" s="6" t="n"/>
      <c r="V175" s="8" t="n"/>
      <c r="W175" s="7" t="n"/>
      <c r="X175" s="8" t="n"/>
      <c r="Y175" s="8">
        <f>IF(AND($P175&lt;&gt;"",$Q175="",$P175&lt;TODAY(),OR($N175="Новый",$N175="В работе",$N175="На проверке (QA)",$N175="Отложен")),"ДА","")</f>
        <v/>
      </c>
      <c r="Z175" s="6" t="n"/>
    </row>
    <row r="176">
      <c r="A176" s="2">
        <f>IF($G176="","","BUG-"&amp;TEXT(ROW()-1,"000"))</f>
        <v/>
      </c>
      <c r="B176" s="3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4" t="n"/>
      <c r="L176" s="4" t="n"/>
      <c r="M176" s="2" t="n"/>
      <c r="N176" s="4" t="n"/>
      <c r="O176" s="2" t="n"/>
      <c r="P176" s="3" t="n"/>
      <c r="Q176" s="3" t="n"/>
      <c r="R176" s="5">
        <f>IF(AND($B176&lt;&gt;"",$Q176&lt;&gt;""),$Q176-$B176,"")</f>
        <v/>
      </c>
      <c r="S176" s="2" t="n"/>
      <c r="T176" s="2" t="n"/>
      <c r="U176" s="2" t="n"/>
      <c r="V176" s="4" t="n"/>
      <c r="W176" s="3" t="n"/>
      <c r="X176" s="4" t="n"/>
      <c r="Y176" s="4">
        <f>IF(AND($P176&lt;&gt;"",$Q176="",$P176&lt;TODAY(),OR($N176="Новый",$N176="В работе",$N176="На проверке (QA)",$N176="Отложен")),"ДА","")</f>
        <v/>
      </c>
      <c r="Z176" s="2" t="n"/>
    </row>
    <row r="177">
      <c r="A177" s="6">
        <f>IF($G177="","","BUG-"&amp;TEXT(ROW()-1,"000"))</f>
        <v/>
      </c>
      <c r="B177" s="7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8" t="n"/>
      <c r="L177" s="8" t="n"/>
      <c r="M177" s="6" t="n"/>
      <c r="N177" s="8" t="n"/>
      <c r="O177" s="6" t="n"/>
      <c r="P177" s="7" t="n"/>
      <c r="Q177" s="7" t="n"/>
      <c r="R177" s="9">
        <f>IF(AND($B177&lt;&gt;"",$Q177&lt;&gt;""),$Q177-$B177,"")</f>
        <v/>
      </c>
      <c r="S177" s="6" t="n"/>
      <c r="T177" s="6" t="n"/>
      <c r="U177" s="6" t="n"/>
      <c r="V177" s="8" t="n"/>
      <c r="W177" s="7" t="n"/>
      <c r="X177" s="8" t="n"/>
      <c r="Y177" s="8">
        <f>IF(AND($P177&lt;&gt;"",$Q177="",$P177&lt;TODAY(),OR($N177="Новый",$N177="В работе",$N177="На проверке (QA)",$N177="Отложен")),"ДА","")</f>
        <v/>
      </c>
      <c r="Z177" s="6" t="n"/>
    </row>
    <row r="178">
      <c r="A178" s="2">
        <f>IF($G178="","","BUG-"&amp;TEXT(ROW()-1,"000"))</f>
        <v/>
      </c>
      <c r="B178" s="3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4" t="n"/>
      <c r="L178" s="4" t="n"/>
      <c r="M178" s="2" t="n"/>
      <c r="N178" s="4" t="n"/>
      <c r="O178" s="2" t="n"/>
      <c r="P178" s="3" t="n"/>
      <c r="Q178" s="3" t="n"/>
      <c r="R178" s="5">
        <f>IF(AND($B178&lt;&gt;"",$Q178&lt;&gt;""),$Q178-$B178,"")</f>
        <v/>
      </c>
      <c r="S178" s="2" t="n"/>
      <c r="T178" s="2" t="n"/>
      <c r="U178" s="2" t="n"/>
      <c r="V178" s="4" t="n"/>
      <c r="W178" s="3" t="n"/>
      <c r="X178" s="4" t="n"/>
      <c r="Y178" s="4">
        <f>IF(AND($P178&lt;&gt;"",$Q178="",$P178&lt;TODAY(),OR($N178="Новый",$N178="В работе",$N178="На проверке (QA)",$N178="Отложен")),"ДА","")</f>
        <v/>
      </c>
      <c r="Z178" s="2" t="n"/>
    </row>
    <row r="179">
      <c r="A179" s="6">
        <f>IF($G179="","","BUG-"&amp;TEXT(ROW()-1,"000"))</f>
        <v/>
      </c>
      <c r="B179" s="7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8" t="n"/>
      <c r="L179" s="8" t="n"/>
      <c r="M179" s="6" t="n"/>
      <c r="N179" s="8" t="n"/>
      <c r="O179" s="6" t="n"/>
      <c r="P179" s="7" t="n"/>
      <c r="Q179" s="7" t="n"/>
      <c r="R179" s="9">
        <f>IF(AND($B179&lt;&gt;"",$Q179&lt;&gt;""),$Q179-$B179,"")</f>
        <v/>
      </c>
      <c r="S179" s="6" t="n"/>
      <c r="T179" s="6" t="n"/>
      <c r="U179" s="6" t="n"/>
      <c r="V179" s="8" t="n"/>
      <c r="W179" s="7" t="n"/>
      <c r="X179" s="8" t="n"/>
      <c r="Y179" s="8">
        <f>IF(AND($P179&lt;&gt;"",$Q179="",$P179&lt;TODAY(),OR($N179="Новый",$N179="В работе",$N179="На проверке (QA)",$N179="Отложен")),"ДА","")</f>
        <v/>
      </c>
      <c r="Z179" s="6" t="n"/>
    </row>
    <row r="180">
      <c r="A180" s="2">
        <f>IF($G180="","","BUG-"&amp;TEXT(ROW()-1,"000"))</f>
        <v/>
      </c>
      <c r="B180" s="3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4" t="n"/>
      <c r="L180" s="4" t="n"/>
      <c r="M180" s="2" t="n"/>
      <c r="N180" s="4" t="n"/>
      <c r="O180" s="2" t="n"/>
      <c r="P180" s="3" t="n"/>
      <c r="Q180" s="3" t="n"/>
      <c r="R180" s="5">
        <f>IF(AND($B180&lt;&gt;"",$Q180&lt;&gt;""),$Q180-$B180,"")</f>
        <v/>
      </c>
      <c r="S180" s="2" t="n"/>
      <c r="T180" s="2" t="n"/>
      <c r="U180" s="2" t="n"/>
      <c r="V180" s="4" t="n"/>
      <c r="W180" s="3" t="n"/>
      <c r="X180" s="4" t="n"/>
      <c r="Y180" s="4">
        <f>IF(AND($P180&lt;&gt;"",$Q180="",$P180&lt;TODAY(),OR($N180="Новый",$N180="В работе",$N180="На проверке (QA)",$N180="Отложен")),"ДА","")</f>
        <v/>
      </c>
      <c r="Z180" s="2" t="n"/>
    </row>
    <row r="181">
      <c r="A181" s="6">
        <f>IF($G181="","","BUG-"&amp;TEXT(ROW()-1,"000"))</f>
        <v/>
      </c>
      <c r="B181" s="7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8" t="n"/>
      <c r="L181" s="8" t="n"/>
      <c r="M181" s="6" t="n"/>
      <c r="N181" s="8" t="n"/>
      <c r="O181" s="6" t="n"/>
      <c r="P181" s="7" t="n"/>
      <c r="Q181" s="7" t="n"/>
      <c r="R181" s="9">
        <f>IF(AND($B181&lt;&gt;"",$Q181&lt;&gt;""),$Q181-$B181,"")</f>
        <v/>
      </c>
      <c r="S181" s="6" t="n"/>
      <c r="T181" s="6" t="n"/>
      <c r="U181" s="6" t="n"/>
      <c r="V181" s="8" t="n"/>
      <c r="W181" s="7" t="n"/>
      <c r="X181" s="8" t="n"/>
      <c r="Y181" s="8">
        <f>IF(AND($P181&lt;&gt;"",$Q181="",$P181&lt;TODAY(),OR($N181="Новый",$N181="В работе",$N181="На проверке (QA)",$N181="Отложен")),"ДА","")</f>
        <v/>
      </c>
      <c r="Z181" s="6" t="n"/>
    </row>
    <row r="182">
      <c r="A182" s="2">
        <f>IF($G182="","","BUG-"&amp;TEXT(ROW()-1,"000"))</f>
        <v/>
      </c>
      <c r="B182" s="3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4" t="n"/>
      <c r="L182" s="4" t="n"/>
      <c r="M182" s="2" t="n"/>
      <c r="N182" s="4" t="n"/>
      <c r="O182" s="2" t="n"/>
      <c r="P182" s="3" t="n"/>
      <c r="Q182" s="3" t="n"/>
      <c r="R182" s="5">
        <f>IF(AND($B182&lt;&gt;"",$Q182&lt;&gt;""),$Q182-$B182,"")</f>
        <v/>
      </c>
      <c r="S182" s="2" t="n"/>
      <c r="T182" s="2" t="n"/>
      <c r="U182" s="2" t="n"/>
      <c r="V182" s="4" t="n"/>
      <c r="W182" s="3" t="n"/>
      <c r="X182" s="4" t="n"/>
      <c r="Y182" s="4">
        <f>IF(AND($P182&lt;&gt;"",$Q182="",$P182&lt;TODAY(),OR($N182="Новый",$N182="В работе",$N182="На проверке (QA)",$N182="Отложен")),"ДА","")</f>
        <v/>
      </c>
      <c r="Z182" s="2" t="n"/>
    </row>
    <row r="183">
      <c r="A183" s="6">
        <f>IF($G183="","","BUG-"&amp;TEXT(ROW()-1,"000"))</f>
        <v/>
      </c>
      <c r="B183" s="7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8" t="n"/>
      <c r="L183" s="8" t="n"/>
      <c r="M183" s="6" t="n"/>
      <c r="N183" s="8" t="n"/>
      <c r="O183" s="6" t="n"/>
      <c r="P183" s="7" t="n"/>
      <c r="Q183" s="7" t="n"/>
      <c r="R183" s="9">
        <f>IF(AND($B183&lt;&gt;"",$Q183&lt;&gt;""),$Q183-$B183,"")</f>
        <v/>
      </c>
      <c r="S183" s="6" t="n"/>
      <c r="T183" s="6" t="n"/>
      <c r="U183" s="6" t="n"/>
      <c r="V183" s="8" t="n"/>
      <c r="W183" s="7" t="n"/>
      <c r="X183" s="8" t="n"/>
      <c r="Y183" s="8">
        <f>IF(AND($P183&lt;&gt;"",$Q183="",$P183&lt;TODAY(),OR($N183="Новый",$N183="В работе",$N183="На проверке (QA)",$N183="Отложен")),"ДА","")</f>
        <v/>
      </c>
      <c r="Z183" s="6" t="n"/>
    </row>
    <row r="184">
      <c r="A184" s="2">
        <f>IF($G184="","","BUG-"&amp;TEXT(ROW()-1,"000"))</f>
        <v/>
      </c>
      <c r="B184" s="3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4" t="n"/>
      <c r="L184" s="4" t="n"/>
      <c r="M184" s="2" t="n"/>
      <c r="N184" s="4" t="n"/>
      <c r="O184" s="2" t="n"/>
      <c r="P184" s="3" t="n"/>
      <c r="Q184" s="3" t="n"/>
      <c r="R184" s="5">
        <f>IF(AND($B184&lt;&gt;"",$Q184&lt;&gt;""),$Q184-$B184,"")</f>
        <v/>
      </c>
      <c r="S184" s="2" t="n"/>
      <c r="T184" s="2" t="n"/>
      <c r="U184" s="2" t="n"/>
      <c r="V184" s="4" t="n"/>
      <c r="W184" s="3" t="n"/>
      <c r="X184" s="4" t="n"/>
      <c r="Y184" s="4">
        <f>IF(AND($P184&lt;&gt;"",$Q184="",$P184&lt;TODAY(),OR($N184="Новый",$N184="В работе",$N184="На проверке (QA)",$N184="Отложен")),"ДА","")</f>
        <v/>
      </c>
      <c r="Z184" s="2" t="n"/>
    </row>
    <row r="185">
      <c r="A185" s="6">
        <f>IF($G185="","","BUG-"&amp;TEXT(ROW()-1,"000"))</f>
        <v/>
      </c>
      <c r="B185" s="7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8" t="n"/>
      <c r="L185" s="8" t="n"/>
      <c r="M185" s="6" t="n"/>
      <c r="N185" s="8" t="n"/>
      <c r="O185" s="6" t="n"/>
      <c r="P185" s="7" t="n"/>
      <c r="Q185" s="7" t="n"/>
      <c r="R185" s="9">
        <f>IF(AND($B185&lt;&gt;"",$Q185&lt;&gt;""),$Q185-$B185,"")</f>
        <v/>
      </c>
      <c r="S185" s="6" t="n"/>
      <c r="T185" s="6" t="n"/>
      <c r="U185" s="6" t="n"/>
      <c r="V185" s="8" t="n"/>
      <c r="W185" s="7" t="n"/>
      <c r="X185" s="8" t="n"/>
      <c r="Y185" s="8">
        <f>IF(AND($P185&lt;&gt;"",$Q185="",$P185&lt;TODAY(),OR($N185="Новый",$N185="В работе",$N185="На проверке (QA)",$N185="Отложен")),"ДА","")</f>
        <v/>
      </c>
      <c r="Z185" s="6" t="n"/>
    </row>
    <row r="186">
      <c r="A186" s="2">
        <f>IF($G186="","","BUG-"&amp;TEXT(ROW()-1,"000"))</f>
        <v/>
      </c>
      <c r="B186" s="3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4" t="n"/>
      <c r="L186" s="4" t="n"/>
      <c r="M186" s="2" t="n"/>
      <c r="N186" s="4" t="n"/>
      <c r="O186" s="2" t="n"/>
      <c r="P186" s="3" t="n"/>
      <c r="Q186" s="3" t="n"/>
      <c r="R186" s="5">
        <f>IF(AND($B186&lt;&gt;"",$Q186&lt;&gt;""),$Q186-$B186,"")</f>
        <v/>
      </c>
      <c r="S186" s="2" t="n"/>
      <c r="T186" s="2" t="n"/>
      <c r="U186" s="2" t="n"/>
      <c r="V186" s="4" t="n"/>
      <c r="W186" s="3" t="n"/>
      <c r="X186" s="4" t="n"/>
      <c r="Y186" s="4">
        <f>IF(AND($P186&lt;&gt;"",$Q186="",$P186&lt;TODAY(),OR($N186="Новый",$N186="В работе",$N186="На проверке (QA)",$N186="Отложен")),"ДА","")</f>
        <v/>
      </c>
      <c r="Z186" s="2" t="n"/>
    </row>
    <row r="187">
      <c r="A187" s="6">
        <f>IF($G187="","","BUG-"&amp;TEXT(ROW()-1,"000"))</f>
        <v/>
      </c>
      <c r="B187" s="7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8" t="n"/>
      <c r="L187" s="8" t="n"/>
      <c r="M187" s="6" t="n"/>
      <c r="N187" s="8" t="n"/>
      <c r="O187" s="6" t="n"/>
      <c r="P187" s="7" t="n"/>
      <c r="Q187" s="7" t="n"/>
      <c r="R187" s="9">
        <f>IF(AND($B187&lt;&gt;"",$Q187&lt;&gt;""),$Q187-$B187,"")</f>
        <v/>
      </c>
      <c r="S187" s="6" t="n"/>
      <c r="T187" s="6" t="n"/>
      <c r="U187" s="6" t="n"/>
      <c r="V187" s="8" t="n"/>
      <c r="W187" s="7" t="n"/>
      <c r="X187" s="8" t="n"/>
      <c r="Y187" s="8">
        <f>IF(AND($P187&lt;&gt;"",$Q187="",$P187&lt;TODAY(),OR($N187="Новый",$N187="В работе",$N187="На проверке (QA)",$N187="Отложен")),"ДА","")</f>
        <v/>
      </c>
      <c r="Z187" s="6" t="n"/>
    </row>
    <row r="188">
      <c r="A188" s="2">
        <f>IF($G188="","","BUG-"&amp;TEXT(ROW()-1,"000"))</f>
        <v/>
      </c>
      <c r="B188" s="3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4" t="n"/>
      <c r="L188" s="4" t="n"/>
      <c r="M188" s="2" t="n"/>
      <c r="N188" s="4" t="n"/>
      <c r="O188" s="2" t="n"/>
      <c r="P188" s="3" t="n"/>
      <c r="Q188" s="3" t="n"/>
      <c r="R188" s="5">
        <f>IF(AND($B188&lt;&gt;"",$Q188&lt;&gt;""),$Q188-$B188,"")</f>
        <v/>
      </c>
      <c r="S188" s="2" t="n"/>
      <c r="T188" s="2" t="n"/>
      <c r="U188" s="2" t="n"/>
      <c r="V188" s="4" t="n"/>
      <c r="W188" s="3" t="n"/>
      <c r="X188" s="4" t="n"/>
      <c r="Y188" s="4">
        <f>IF(AND($P188&lt;&gt;"",$Q188="",$P188&lt;TODAY(),OR($N188="Новый",$N188="В работе",$N188="На проверке (QA)",$N188="Отложен")),"ДА","")</f>
        <v/>
      </c>
      <c r="Z188" s="2" t="n"/>
    </row>
    <row r="189">
      <c r="A189" s="6">
        <f>IF($G189="","","BUG-"&amp;TEXT(ROW()-1,"000"))</f>
        <v/>
      </c>
      <c r="B189" s="7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8" t="n"/>
      <c r="L189" s="8" t="n"/>
      <c r="M189" s="6" t="n"/>
      <c r="N189" s="8" t="n"/>
      <c r="O189" s="6" t="n"/>
      <c r="P189" s="7" t="n"/>
      <c r="Q189" s="7" t="n"/>
      <c r="R189" s="9">
        <f>IF(AND($B189&lt;&gt;"",$Q189&lt;&gt;""),$Q189-$B189,"")</f>
        <v/>
      </c>
      <c r="S189" s="6" t="n"/>
      <c r="T189" s="6" t="n"/>
      <c r="U189" s="6" t="n"/>
      <c r="V189" s="8" t="n"/>
      <c r="W189" s="7" t="n"/>
      <c r="X189" s="8" t="n"/>
      <c r="Y189" s="8">
        <f>IF(AND($P189&lt;&gt;"",$Q189="",$P189&lt;TODAY(),OR($N189="Новый",$N189="В работе",$N189="На проверке (QA)",$N189="Отложен")),"ДА","")</f>
        <v/>
      </c>
      <c r="Z189" s="6" t="n"/>
    </row>
    <row r="190">
      <c r="A190" s="2">
        <f>IF($G190="","","BUG-"&amp;TEXT(ROW()-1,"000"))</f>
        <v/>
      </c>
      <c r="B190" s="3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4" t="n"/>
      <c r="L190" s="4" t="n"/>
      <c r="M190" s="2" t="n"/>
      <c r="N190" s="4" t="n"/>
      <c r="O190" s="2" t="n"/>
      <c r="P190" s="3" t="n"/>
      <c r="Q190" s="3" t="n"/>
      <c r="R190" s="5">
        <f>IF(AND($B190&lt;&gt;"",$Q190&lt;&gt;""),$Q190-$B190,"")</f>
        <v/>
      </c>
      <c r="S190" s="2" t="n"/>
      <c r="T190" s="2" t="n"/>
      <c r="U190" s="2" t="n"/>
      <c r="V190" s="4" t="n"/>
      <c r="W190" s="3" t="n"/>
      <c r="X190" s="4" t="n"/>
      <c r="Y190" s="4">
        <f>IF(AND($P190&lt;&gt;"",$Q190="",$P190&lt;TODAY(),OR($N190="Новый",$N190="В работе",$N190="На проверке (QA)",$N190="Отложен")),"ДА","")</f>
        <v/>
      </c>
      <c r="Z190" s="2" t="n"/>
    </row>
    <row r="191">
      <c r="A191" s="6">
        <f>IF($G191="","","BUG-"&amp;TEXT(ROW()-1,"000"))</f>
        <v/>
      </c>
      <c r="B191" s="7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8" t="n"/>
      <c r="L191" s="8" t="n"/>
      <c r="M191" s="6" t="n"/>
      <c r="N191" s="8" t="n"/>
      <c r="O191" s="6" t="n"/>
      <c r="P191" s="7" t="n"/>
      <c r="Q191" s="7" t="n"/>
      <c r="R191" s="9">
        <f>IF(AND($B191&lt;&gt;"",$Q191&lt;&gt;""),$Q191-$B191,"")</f>
        <v/>
      </c>
      <c r="S191" s="6" t="n"/>
      <c r="T191" s="6" t="n"/>
      <c r="U191" s="6" t="n"/>
      <c r="V191" s="8" t="n"/>
      <c r="W191" s="7" t="n"/>
      <c r="X191" s="8" t="n"/>
      <c r="Y191" s="8">
        <f>IF(AND($P191&lt;&gt;"",$Q191="",$P191&lt;TODAY(),OR($N191="Новый",$N191="В работе",$N191="На проверке (QA)",$N191="Отложен")),"ДА","")</f>
        <v/>
      </c>
      <c r="Z191" s="6" t="n"/>
    </row>
    <row r="192">
      <c r="A192" s="2">
        <f>IF($G192="","","BUG-"&amp;TEXT(ROW()-1,"000"))</f>
        <v/>
      </c>
      <c r="B192" s="3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4" t="n"/>
      <c r="L192" s="4" t="n"/>
      <c r="M192" s="2" t="n"/>
      <c r="N192" s="4" t="n"/>
      <c r="O192" s="2" t="n"/>
      <c r="P192" s="3" t="n"/>
      <c r="Q192" s="3" t="n"/>
      <c r="R192" s="5">
        <f>IF(AND($B192&lt;&gt;"",$Q192&lt;&gt;""),$Q192-$B192,"")</f>
        <v/>
      </c>
      <c r="S192" s="2" t="n"/>
      <c r="T192" s="2" t="n"/>
      <c r="U192" s="2" t="n"/>
      <c r="V192" s="4" t="n"/>
      <c r="W192" s="3" t="n"/>
      <c r="X192" s="4" t="n"/>
      <c r="Y192" s="4">
        <f>IF(AND($P192&lt;&gt;"",$Q192="",$P192&lt;TODAY(),OR($N192="Новый",$N192="В работе",$N192="На проверке (QA)",$N192="Отложен")),"ДА","")</f>
        <v/>
      </c>
      <c r="Z192" s="2" t="n"/>
    </row>
    <row r="193">
      <c r="A193" s="6">
        <f>IF($G193="","","BUG-"&amp;TEXT(ROW()-1,"000"))</f>
        <v/>
      </c>
      <c r="B193" s="7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8" t="n"/>
      <c r="L193" s="8" t="n"/>
      <c r="M193" s="6" t="n"/>
      <c r="N193" s="8" t="n"/>
      <c r="O193" s="6" t="n"/>
      <c r="P193" s="7" t="n"/>
      <c r="Q193" s="7" t="n"/>
      <c r="R193" s="9">
        <f>IF(AND($B193&lt;&gt;"",$Q193&lt;&gt;""),$Q193-$B193,"")</f>
        <v/>
      </c>
      <c r="S193" s="6" t="n"/>
      <c r="T193" s="6" t="n"/>
      <c r="U193" s="6" t="n"/>
      <c r="V193" s="8" t="n"/>
      <c r="W193" s="7" t="n"/>
      <c r="X193" s="8" t="n"/>
      <c r="Y193" s="8">
        <f>IF(AND($P193&lt;&gt;"",$Q193="",$P193&lt;TODAY(),OR($N193="Новый",$N193="В работе",$N193="На проверке (QA)",$N193="Отложен")),"ДА","")</f>
        <v/>
      </c>
      <c r="Z193" s="6" t="n"/>
    </row>
    <row r="194">
      <c r="A194" s="2">
        <f>IF($G194="","","BUG-"&amp;TEXT(ROW()-1,"000"))</f>
        <v/>
      </c>
      <c r="B194" s="3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4" t="n"/>
      <c r="L194" s="4" t="n"/>
      <c r="M194" s="2" t="n"/>
      <c r="N194" s="4" t="n"/>
      <c r="O194" s="2" t="n"/>
      <c r="P194" s="3" t="n"/>
      <c r="Q194" s="3" t="n"/>
      <c r="R194" s="5">
        <f>IF(AND($B194&lt;&gt;"",$Q194&lt;&gt;""),$Q194-$B194,"")</f>
        <v/>
      </c>
      <c r="S194" s="2" t="n"/>
      <c r="T194" s="2" t="n"/>
      <c r="U194" s="2" t="n"/>
      <c r="V194" s="4" t="n"/>
      <c r="W194" s="3" t="n"/>
      <c r="X194" s="4" t="n"/>
      <c r="Y194" s="4">
        <f>IF(AND($P194&lt;&gt;"",$Q194="",$P194&lt;TODAY(),OR($N194="Новый",$N194="В работе",$N194="На проверке (QA)",$N194="Отложен")),"ДА","")</f>
        <v/>
      </c>
      <c r="Z194" s="2" t="n"/>
    </row>
    <row r="195">
      <c r="A195" s="6">
        <f>IF($G195="","","BUG-"&amp;TEXT(ROW()-1,"000"))</f>
        <v/>
      </c>
      <c r="B195" s="7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8" t="n"/>
      <c r="L195" s="8" t="n"/>
      <c r="M195" s="6" t="n"/>
      <c r="N195" s="8" t="n"/>
      <c r="O195" s="6" t="n"/>
      <c r="P195" s="7" t="n"/>
      <c r="Q195" s="7" t="n"/>
      <c r="R195" s="9">
        <f>IF(AND($B195&lt;&gt;"",$Q195&lt;&gt;""),$Q195-$B195,"")</f>
        <v/>
      </c>
      <c r="S195" s="6" t="n"/>
      <c r="T195" s="6" t="n"/>
      <c r="U195" s="6" t="n"/>
      <c r="V195" s="8" t="n"/>
      <c r="W195" s="7" t="n"/>
      <c r="X195" s="8" t="n"/>
      <c r="Y195" s="8">
        <f>IF(AND($P195&lt;&gt;"",$Q195="",$P195&lt;TODAY(),OR($N195="Новый",$N195="В работе",$N195="На проверке (QA)",$N195="Отложен")),"ДА","")</f>
        <v/>
      </c>
      <c r="Z195" s="6" t="n"/>
    </row>
    <row r="196">
      <c r="A196" s="2">
        <f>IF($G196="","","BUG-"&amp;TEXT(ROW()-1,"000"))</f>
        <v/>
      </c>
      <c r="B196" s="3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4" t="n"/>
      <c r="L196" s="4" t="n"/>
      <c r="M196" s="2" t="n"/>
      <c r="N196" s="4" t="n"/>
      <c r="O196" s="2" t="n"/>
      <c r="P196" s="3" t="n"/>
      <c r="Q196" s="3" t="n"/>
      <c r="R196" s="5">
        <f>IF(AND($B196&lt;&gt;"",$Q196&lt;&gt;""),$Q196-$B196,"")</f>
        <v/>
      </c>
      <c r="S196" s="2" t="n"/>
      <c r="T196" s="2" t="n"/>
      <c r="U196" s="2" t="n"/>
      <c r="V196" s="4" t="n"/>
      <c r="W196" s="3" t="n"/>
      <c r="X196" s="4" t="n"/>
      <c r="Y196" s="4">
        <f>IF(AND($P196&lt;&gt;"",$Q196="",$P196&lt;TODAY(),OR($N196="Новый",$N196="В работе",$N196="На проверке (QA)",$N196="Отложен")),"ДА","")</f>
        <v/>
      </c>
      <c r="Z196" s="2" t="n"/>
    </row>
    <row r="197">
      <c r="A197" s="6">
        <f>IF($G197="","","BUG-"&amp;TEXT(ROW()-1,"000"))</f>
        <v/>
      </c>
      <c r="B197" s="7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8" t="n"/>
      <c r="L197" s="8" t="n"/>
      <c r="M197" s="6" t="n"/>
      <c r="N197" s="8" t="n"/>
      <c r="O197" s="6" t="n"/>
      <c r="P197" s="7" t="n"/>
      <c r="Q197" s="7" t="n"/>
      <c r="R197" s="9">
        <f>IF(AND($B197&lt;&gt;"",$Q197&lt;&gt;""),$Q197-$B197,"")</f>
        <v/>
      </c>
      <c r="S197" s="6" t="n"/>
      <c r="T197" s="6" t="n"/>
      <c r="U197" s="6" t="n"/>
      <c r="V197" s="8" t="n"/>
      <c r="W197" s="7" t="n"/>
      <c r="X197" s="8" t="n"/>
      <c r="Y197" s="8">
        <f>IF(AND($P197&lt;&gt;"",$Q197="",$P197&lt;TODAY(),OR($N197="Новый",$N197="В работе",$N197="На проверке (QA)",$N197="Отложен")),"ДА","")</f>
        <v/>
      </c>
      <c r="Z197" s="6" t="n"/>
    </row>
    <row r="198">
      <c r="A198" s="2">
        <f>IF($G198="","","BUG-"&amp;TEXT(ROW()-1,"000"))</f>
        <v/>
      </c>
      <c r="B198" s="3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4" t="n"/>
      <c r="L198" s="4" t="n"/>
      <c r="M198" s="2" t="n"/>
      <c r="N198" s="4" t="n"/>
      <c r="O198" s="2" t="n"/>
      <c r="P198" s="3" t="n"/>
      <c r="Q198" s="3" t="n"/>
      <c r="R198" s="5">
        <f>IF(AND($B198&lt;&gt;"",$Q198&lt;&gt;""),$Q198-$B198,"")</f>
        <v/>
      </c>
      <c r="S198" s="2" t="n"/>
      <c r="T198" s="2" t="n"/>
      <c r="U198" s="2" t="n"/>
      <c r="V198" s="4" t="n"/>
      <c r="W198" s="3" t="n"/>
      <c r="X198" s="4" t="n"/>
      <c r="Y198" s="4">
        <f>IF(AND($P198&lt;&gt;"",$Q198="",$P198&lt;TODAY(),OR($N198="Новый",$N198="В работе",$N198="На проверке (QA)",$N198="Отложен")),"ДА","")</f>
        <v/>
      </c>
      <c r="Z198" s="2" t="n"/>
    </row>
    <row r="199">
      <c r="A199" s="6">
        <f>IF($G199="","","BUG-"&amp;TEXT(ROW()-1,"000"))</f>
        <v/>
      </c>
      <c r="B199" s="7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8" t="n"/>
      <c r="L199" s="8" t="n"/>
      <c r="M199" s="6" t="n"/>
      <c r="N199" s="8" t="n"/>
      <c r="O199" s="6" t="n"/>
      <c r="P199" s="7" t="n"/>
      <c r="Q199" s="7" t="n"/>
      <c r="R199" s="9">
        <f>IF(AND($B199&lt;&gt;"",$Q199&lt;&gt;""),$Q199-$B199,"")</f>
        <v/>
      </c>
      <c r="S199" s="6" t="n"/>
      <c r="T199" s="6" t="n"/>
      <c r="U199" s="6" t="n"/>
      <c r="V199" s="8" t="n"/>
      <c r="W199" s="7" t="n"/>
      <c r="X199" s="8" t="n"/>
      <c r="Y199" s="8">
        <f>IF(AND($P199&lt;&gt;"",$Q199="",$P199&lt;TODAY(),OR($N199="Новый",$N199="В работе",$N199="На проверке (QA)",$N199="Отложен")),"ДА","")</f>
        <v/>
      </c>
      <c r="Z199" s="6" t="n"/>
    </row>
    <row r="200">
      <c r="A200" s="2">
        <f>IF($G200="","","BUG-"&amp;TEXT(ROW()-1,"000"))</f>
        <v/>
      </c>
      <c r="B200" s="3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4" t="n"/>
      <c r="L200" s="4" t="n"/>
      <c r="M200" s="2" t="n"/>
      <c r="N200" s="4" t="n"/>
      <c r="O200" s="2" t="n"/>
      <c r="P200" s="3" t="n"/>
      <c r="Q200" s="3" t="n"/>
      <c r="R200" s="5">
        <f>IF(AND($B200&lt;&gt;"",$Q200&lt;&gt;""),$Q200-$B200,"")</f>
        <v/>
      </c>
      <c r="S200" s="2" t="n"/>
      <c r="T200" s="2" t="n"/>
      <c r="U200" s="2" t="n"/>
      <c r="V200" s="4" t="n"/>
      <c r="W200" s="3" t="n"/>
      <c r="X200" s="4" t="n"/>
      <c r="Y200" s="4">
        <f>IF(AND($P200&lt;&gt;"",$Q200="",$P200&lt;TODAY(),OR($N200="Новый",$N200="В работе",$N200="На проверке (QA)",$N200="Отложен")),"ДА","")</f>
        <v/>
      </c>
      <c r="Z200" s="2" t="n"/>
    </row>
    <row r="201">
      <c r="A201" s="6">
        <f>IF($G201="","","BUG-"&amp;TEXT(ROW()-1,"000"))</f>
        <v/>
      </c>
      <c r="B201" s="7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8" t="n"/>
      <c r="L201" s="8" t="n"/>
      <c r="M201" s="6" t="n"/>
      <c r="N201" s="8" t="n"/>
      <c r="O201" s="6" t="n"/>
      <c r="P201" s="7" t="n"/>
      <c r="Q201" s="7" t="n"/>
      <c r="R201" s="9">
        <f>IF(AND($B201&lt;&gt;"",$Q201&lt;&gt;""),$Q201-$B201,"")</f>
        <v/>
      </c>
      <c r="S201" s="6" t="n"/>
      <c r="T201" s="6" t="n"/>
      <c r="U201" s="6" t="n"/>
      <c r="V201" s="8" t="n"/>
      <c r="W201" s="7" t="n"/>
      <c r="X201" s="8" t="n"/>
      <c r="Y201" s="8">
        <f>IF(AND($P201&lt;&gt;"",$Q201="",$P201&lt;TODAY(),OR($N201="Новый",$N201="В работе",$N201="На проверке (QA)",$N201="Отложен")),"ДА","")</f>
        <v/>
      </c>
      <c r="Z201" s="6" t="n"/>
    </row>
    <row r="202">
      <c r="A202" s="2">
        <f>IF($G202="","","BUG-"&amp;TEXT(ROW()-1,"000"))</f>
        <v/>
      </c>
      <c r="B202" s="3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4" t="n"/>
      <c r="L202" s="4" t="n"/>
      <c r="M202" s="2" t="n"/>
      <c r="N202" s="4" t="n"/>
      <c r="O202" s="2" t="n"/>
      <c r="P202" s="3" t="n"/>
      <c r="Q202" s="3" t="n"/>
      <c r="R202" s="5">
        <f>IF(AND($B202&lt;&gt;"",$Q202&lt;&gt;""),$Q202-$B202,"")</f>
        <v/>
      </c>
      <c r="S202" s="2" t="n"/>
      <c r="T202" s="2" t="n"/>
      <c r="U202" s="2" t="n"/>
      <c r="V202" s="4" t="n"/>
      <c r="W202" s="3" t="n"/>
      <c r="X202" s="4" t="n"/>
      <c r="Y202" s="4">
        <f>IF(AND($P202&lt;&gt;"",$Q202="",$P202&lt;TODAY(),OR($N202="Новый",$N202="В работе",$N202="На проверке (QA)",$N202="Отложен")),"ДА","")</f>
        <v/>
      </c>
      <c r="Z202" s="2" t="n"/>
    </row>
    <row r="203">
      <c r="A203" s="6">
        <f>IF($G203="","","BUG-"&amp;TEXT(ROW()-1,"000"))</f>
        <v/>
      </c>
      <c r="B203" s="7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8" t="n"/>
      <c r="L203" s="8" t="n"/>
      <c r="M203" s="6" t="n"/>
      <c r="N203" s="8" t="n"/>
      <c r="O203" s="6" t="n"/>
      <c r="P203" s="7" t="n"/>
      <c r="Q203" s="7" t="n"/>
      <c r="R203" s="9">
        <f>IF(AND($B203&lt;&gt;"",$Q203&lt;&gt;""),$Q203-$B203,"")</f>
        <v/>
      </c>
      <c r="S203" s="6" t="n"/>
      <c r="T203" s="6" t="n"/>
      <c r="U203" s="6" t="n"/>
      <c r="V203" s="8" t="n"/>
      <c r="W203" s="7" t="n"/>
      <c r="X203" s="8" t="n"/>
      <c r="Y203" s="8">
        <f>IF(AND($P203&lt;&gt;"",$Q203="",$P203&lt;TODAY(),OR($N203="Новый",$N203="В работе",$N203="На проверке (QA)",$N203="Отложен")),"ДА","")</f>
        <v/>
      </c>
      <c r="Z203" s="6" t="n"/>
    </row>
    <row r="204">
      <c r="A204" s="2">
        <f>IF($G204="","","BUG-"&amp;TEXT(ROW()-1,"000"))</f>
        <v/>
      </c>
      <c r="B204" s="3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4" t="n"/>
      <c r="L204" s="4" t="n"/>
      <c r="M204" s="2" t="n"/>
      <c r="N204" s="4" t="n"/>
      <c r="O204" s="2" t="n"/>
      <c r="P204" s="3" t="n"/>
      <c r="Q204" s="3" t="n"/>
      <c r="R204" s="5">
        <f>IF(AND($B204&lt;&gt;"",$Q204&lt;&gt;""),$Q204-$B204,"")</f>
        <v/>
      </c>
      <c r="S204" s="2" t="n"/>
      <c r="T204" s="2" t="n"/>
      <c r="U204" s="2" t="n"/>
      <c r="V204" s="4" t="n"/>
      <c r="W204" s="3" t="n"/>
      <c r="X204" s="4" t="n"/>
      <c r="Y204" s="4">
        <f>IF(AND($P204&lt;&gt;"",$Q204="",$P204&lt;TODAY(),OR($N204="Новый",$N204="В работе",$N204="На проверке (QA)",$N204="Отложен")),"ДА","")</f>
        <v/>
      </c>
      <c r="Z204" s="2" t="n"/>
    </row>
    <row r="205">
      <c r="A205" s="6">
        <f>IF($G205="","","BUG-"&amp;TEXT(ROW()-1,"000"))</f>
        <v/>
      </c>
      <c r="B205" s="7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8" t="n"/>
      <c r="L205" s="8" t="n"/>
      <c r="M205" s="6" t="n"/>
      <c r="N205" s="8" t="n"/>
      <c r="O205" s="6" t="n"/>
      <c r="P205" s="7" t="n"/>
      <c r="Q205" s="7" t="n"/>
      <c r="R205" s="9">
        <f>IF(AND($B205&lt;&gt;"",$Q205&lt;&gt;""),$Q205-$B205,"")</f>
        <v/>
      </c>
      <c r="S205" s="6" t="n"/>
      <c r="T205" s="6" t="n"/>
      <c r="U205" s="6" t="n"/>
      <c r="V205" s="8" t="n"/>
      <c r="W205" s="7" t="n"/>
      <c r="X205" s="8" t="n"/>
      <c r="Y205" s="8">
        <f>IF(AND($P205&lt;&gt;"",$Q205="",$P205&lt;TODAY(),OR($N205="Новый",$N205="В работе",$N205="На проверке (QA)",$N205="Отложен")),"ДА","")</f>
        <v/>
      </c>
      <c r="Z205" s="6" t="n"/>
    </row>
    <row r="206">
      <c r="A206" s="2">
        <f>IF($G206="","","BUG-"&amp;TEXT(ROW()-1,"000"))</f>
        <v/>
      </c>
      <c r="B206" s="3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4" t="n"/>
      <c r="L206" s="4" t="n"/>
      <c r="M206" s="2" t="n"/>
      <c r="N206" s="4" t="n"/>
      <c r="O206" s="2" t="n"/>
      <c r="P206" s="3" t="n"/>
      <c r="Q206" s="3" t="n"/>
      <c r="R206" s="5">
        <f>IF(AND($B206&lt;&gt;"",$Q206&lt;&gt;""),$Q206-$B206,"")</f>
        <v/>
      </c>
      <c r="S206" s="2" t="n"/>
      <c r="T206" s="2" t="n"/>
      <c r="U206" s="2" t="n"/>
      <c r="V206" s="4" t="n"/>
      <c r="W206" s="3" t="n"/>
      <c r="X206" s="4" t="n"/>
      <c r="Y206" s="4">
        <f>IF(AND($P206&lt;&gt;"",$Q206="",$P206&lt;TODAY(),OR($N206="Новый",$N206="В работе",$N206="На проверке (QA)",$N206="Отложен")),"ДА","")</f>
        <v/>
      </c>
      <c r="Z206" s="2" t="n"/>
    </row>
    <row r="207">
      <c r="A207" s="6">
        <f>IF($G207="","","BUG-"&amp;TEXT(ROW()-1,"000"))</f>
        <v/>
      </c>
      <c r="B207" s="7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8" t="n"/>
      <c r="L207" s="8" t="n"/>
      <c r="M207" s="6" t="n"/>
      <c r="N207" s="8" t="n"/>
      <c r="O207" s="6" t="n"/>
      <c r="P207" s="7" t="n"/>
      <c r="Q207" s="7" t="n"/>
      <c r="R207" s="9">
        <f>IF(AND($B207&lt;&gt;"",$Q207&lt;&gt;""),$Q207-$B207,"")</f>
        <v/>
      </c>
      <c r="S207" s="6" t="n"/>
      <c r="T207" s="6" t="n"/>
      <c r="U207" s="6" t="n"/>
      <c r="V207" s="8" t="n"/>
      <c r="W207" s="7" t="n"/>
      <c r="X207" s="8" t="n"/>
      <c r="Y207" s="8">
        <f>IF(AND($P207&lt;&gt;"",$Q207="",$P207&lt;TODAY(),OR($N207="Новый",$N207="В работе",$N207="На проверке (QA)",$N207="Отложен")),"ДА","")</f>
        <v/>
      </c>
      <c r="Z207" s="6" t="n"/>
    </row>
    <row r="208">
      <c r="A208" s="2">
        <f>IF($G208="","","BUG-"&amp;TEXT(ROW()-1,"000"))</f>
        <v/>
      </c>
      <c r="B208" s="3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4" t="n"/>
      <c r="L208" s="4" t="n"/>
      <c r="M208" s="2" t="n"/>
      <c r="N208" s="4" t="n"/>
      <c r="O208" s="2" t="n"/>
      <c r="P208" s="3" t="n"/>
      <c r="Q208" s="3" t="n"/>
      <c r="R208" s="5">
        <f>IF(AND($B208&lt;&gt;"",$Q208&lt;&gt;""),$Q208-$B208,"")</f>
        <v/>
      </c>
      <c r="S208" s="2" t="n"/>
      <c r="T208" s="2" t="n"/>
      <c r="U208" s="2" t="n"/>
      <c r="V208" s="4" t="n"/>
      <c r="W208" s="3" t="n"/>
      <c r="X208" s="4" t="n"/>
      <c r="Y208" s="4">
        <f>IF(AND($P208&lt;&gt;"",$Q208="",$P208&lt;TODAY(),OR($N208="Новый",$N208="В работе",$N208="На проверке (QA)",$N208="Отложен")),"ДА","")</f>
        <v/>
      </c>
      <c r="Z208" s="2" t="n"/>
    </row>
    <row r="209">
      <c r="A209" s="6">
        <f>IF($G209="","","BUG-"&amp;TEXT(ROW()-1,"000"))</f>
        <v/>
      </c>
      <c r="B209" s="7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8" t="n"/>
      <c r="L209" s="8" t="n"/>
      <c r="M209" s="6" t="n"/>
      <c r="N209" s="8" t="n"/>
      <c r="O209" s="6" t="n"/>
      <c r="P209" s="7" t="n"/>
      <c r="Q209" s="7" t="n"/>
      <c r="R209" s="9">
        <f>IF(AND($B209&lt;&gt;"",$Q209&lt;&gt;""),$Q209-$B209,"")</f>
        <v/>
      </c>
      <c r="S209" s="6" t="n"/>
      <c r="T209" s="6" t="n"/>
      <c r="U209" s="6" t="n"/>
      <c r="V209" s="8" t="n"/>
      <c r="W209" s="7" t="n"/>
      <c r="X209" s="8" t="n"/>
      <c r="Y209" s="8">
        <f>IF(AND($P209&lt;&gt;"",$Q209="",$P209&lt;TODAY(),OR($N209="Новый",$N209="В работе",$N209="На проверке (QA)",$N209="Отложен")),"ДА","")</f>
        <v/>
      </c>
      <c r="Z209" s="6" t="n"/>
    </row>
    <row r="210">
      <c r="A210" s="2">
        <f>IF($G210="","","BUG-"&amp;TEXT(ROW()-1,"000"))</f>
        <v/>
      </c>
      <c r="B210" s="3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4" t="n"/>
      <c r="L210" s="4" t="n"/>
      <c r="M210" s="2" t="n"/>
      <c r="N210" s="4" t="n"/>
      <c r="O210" s="2" t="n"/>
      <c r="P210" s="3" t="n"/>
      <c r="Q210" s="3" t="n"/>
      <c r="R210" s="5">
        <f>IF(AND($B210&lt;&gt;"",$Q210&lt;&gt;""),$Q210-$B210,"")</f>
        <v/>
      </c>
      <c r="S210" s="2" t="n"/>
      <c r="T210" s="2" t="n"/>
      <c r="U210" s="2" t="n"/>
      <c r="V210" s="4" t="n"/>
      <c r="W210" s="3" t="n"/>
      <c r="X210" s="4" t="n"/>
      <c r="Y210" s="4">
        <f>IF(AND($P210&lt;&gt;"",$Q210="",$P210&lt;TODAY(),OR($N210="Новый",$N210="В работе",$N210="На проверке (QA)",$N210="Отложен")),"ДА","")</f>
        <v/>
      </c>
      <c r="Z210" s="2" t="n"/>
    </row>
    <row r="211">
      <c r="A211" s="6">
        <f>IF($G211="","","BUG-"&amp;TEXT(ROW()-1,"000"))</f>
        <v/>
      </c>
      <c r="B211" s="7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8" t="n"/>
      <c r="L211" s="8" t="n"/>
      <c r="M211" s="6" t="n"/>
      <c r="N211" s="8" t="n"/>
      <c r="O211" s="6" t="n"/>
      <c r="P211" s="7" t="n"/>
      <c r="Q211" s="7" t="n"/>
      <c r="R211" s="9">
        <f>IF(AND($B211&lt;&gt;"",$Q211&lt;&gt;""),$Q211-$B211,"")</f>
        <v/>
      </c>
      <c r="S211" s="6" t="n"/>
      <c r="T211" s="6" t="n"/>
      <c r="U211" s="6" t="n"/>
      <c r="V211" s="8" t="n"/>
      <c r="W211" s="7" t="n"/>
      <c r="X211" s="8" t="n"/>
      <c r="Y211" s="8">
        <f>IF(AND($P211&lt;&gt;"",$Q211="",$P211&lt;TODAY(),OR($N211="Новый",$N211="В работе",$N211="На проверке (QA)",$N211="Отложен")),"ДА","")</f>
        <v/>
      </c>
      <c r="Z211" s="6" t="n"/>
    </row>
    <row r="212">
      <c r="A212" s="2">
        <f>IF($G212="","","BUG-"&amp;TEXT(ROW()-1,"000"))</f>
        <v/>
      </c>
      <c r="B212" s="3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4" t="n"/>
      <c r="L212" s="4" t="n"/>
      <c r="M212" s="2" t="n"/>
      <c r="N212" s="4" t="n"/>
      <c r="O212" s="2" t="n"/>
      <c r="P212" s="3" t="n"/>
      <c r="Q212" s="3" t="n"/>
      <c r="R212" s="5">
        <f>IF(AND($B212&lt;&gt;"",$Q212&lt;&gt;""),$Q212-$B212,"")</f>
        <v/>
      </c>
      <c r="S212" s="2" t="n"/>
      <c r="T212" s="2" t="n"/>
      <c r="U212" s="2" t="n"/>
      <c r="V212" s="4" t="n"/>
      <c r="W212" s="3" t="n"/>
      <c r="X212" s="4" t="n"/>
      <c r="Y212" s="4">
        <f>IF(AND($P212&lt;&gt;"",$Q212="",$P212&lt;TODAY(),OR($N212="Новый",$N212="В работе",$N212="На проверке (QA)",$N212="Отложен")),"ДА","")</f>
        <v/>
      </c>
      <c r="Z212" s="2" t="n"/>
    </row>
    <row r="213">
      <c r="A213" s="6">
        <f>IF($G213="","","BUG-"&amp;TEXT(ROW()-1,"000"))</f>
        <v/>
      </c>
      <c r="B213" s="7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8" t="n"/>
      <c r="L213" s="8" t="n"/>
      <c r="M213" s="6" t="n"/>
      <c r="N213" s="8" t="n"/>
      <c r="O213" s="6" t="n"/>
      <c r="P213" s="7" t="n"/>
      <c r="Q213" s="7" t="n"/>
      <c r="R213" s="9">
        <f>IF(AND($B213&lt;&gt;"",$Q213&lt;&gt;""),$Q213-$B213,"")</f>
        <v/>
      </c>
      <c r="S213" s="6" t="n"/>
      <c r="T213" s="6" t="n"/>
      <c r="U213" s="6" t="n"/>
      <c r="V213" s="8" t="n"/>
      <c r="W213" s="7" t="n"/>
      <c r="X213" s="8" t="n"/>
      <c r="Y213" s="8">
        <f>IF(AND($P213&lt;&gt;"",$Q213="",$P213&lt;TODAY(),OR($N213="Новый",$N213="В работе",$N213="На проверке (QA)",$N213="Отложен")),"ДА","")</f>
        <v/>
      </c>
      <c r="Z213" s="6" t="n"/>
    </row>
    <row r="214">
      <c r="A214" s="2">
        <f>IF($G214="","","BUG-"&amp;TEXT(ROW()-1,"000"))</f>
        <v/>
      </c>
      <c r="B214" s="3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4" t="n"/>
      <c r="L214" s="4" t="n"/>
      <c r="M214" s="2" t="n"/>
      <c r="N214" s="4" t="n"/>
      <c r="O214" s="2" t="n"/>
      <c r="P214" s="3" t="n"/>
      <c r="Q214" s="3" t="n"/>
      <c r="R214" s="5">
        <f>IF(AND($B214&lt;&gt;"",$Q214&lt;&gt;""),$Q214-$B214,"")</f>
        <v/>
      </c>
      <c r="S214" s="2" t="n"/>
      <c r="T214" s="2" t="n"/>
      <c r="U214" s="2" t="n"/>
      <c r="V214" s="4" t="n"/>
      <c r="W214" s="3" t="n"/>
      <c r="X214" s="4" t="n"/>
      <c r="Y214" s="4">
        <f>IF(AND($P214&lt;&gt;"",$Q214="",$P214&lt;TODAY(),OR($N214="Новый",$N214="В работе",$N214="На проверке (QA)",$N214="Отложен")),"ДА","")</f>
        <v/>
      </c>
      <c r="Z214" s="2" t="n"/>
    </row>
    <row r="215">
      <c r="A215" s="6">
        <f>IF($G215="","","BUG-"&amp;TEXT(ROW()-1,"000"))</f>
        <v/>
      </c>
      <c r="B215" s="7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8" t="n"/>
      <c r="L215" s="8" t="n"/>
      <c r="M215" s="6" t="n"/>
      <c r="N215" s="8" t="n"/>
      <c r="O215" s="6" t="n"/>
      <c r="P215" s="7" t="n"/>
      <c r="Q215" s="7" t="n"/>
      <c r="R215" s="9">
        <f>IF(AND($B215&lt;&gt;"",$Q215&lt;&gt;""),$Q215-$B215,"")</f>
        <v/>
      </c>
      <c r="S215" s="6" t="n"/>
      <c r="T215" s="6" t="n"/>
      <c r="U215" s="6" t="n"/>
      <c r="V215" s="8" t="n"/>
      <c r="W215" s="7" t="n"/>
      <c r="X215" s="8" t="n"/>
      <c r="Y215" s="8">
        <f>IF(AND($P215&lt;&gt;"",$Q215="",$P215&lt;TODAY(),OR($N215="Новый",$N215="В работе",$N215="На проверке (QA)",$N215="Отложен")),"ДА","")</f>
        <v/>
      </c>
      <c r="Z215" s="6" t="n"/>
    </row>
    <row r="216">
      <c r="A216" s="2">
        <f>IF($G216="","","BUG-"&amp;TEXT(ROW()-1,"000"))</f>
        <v/>
      </c>
      <c r="B216" s="3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4" t="n"/>
      <c r="L216" s="4" t="n"/>
      <c r="M216" s="2" t="n"/>
      <c r="N216" s="4" t="n"/>
      <c r="O216" s="2" t="n"/>
      <c r="P216" s="3" t="n"/>
      <c r="Q216" s="3" t="n"/>
      <c r="R216" s="5">
        <f>IF(AND($B216&lt;&gt;"",$Q216&lt;&gt;""),$Q216-$B216,"")</f>
        <v/>
      </c>
      <c r="S216" s="2" t="n"/>
      <c r="T216" s="2" t="n"/>
      <c r="U216" s="2" t="n"/>
      <c r="V216" s="4" t="n"/>
      <c r="W216" s="3" t="n"/>
      <c r="X216" s="4" t="n"/>
      <c r="Y216" s="4">
        <f>IF(AND($P216&lt;&gt;"",$Q216="",$P216&lt;TODAY(),OR($N216="Новый",$N216="В работе",$N216="На проверке (QA)",$N216="Отложен")),"ДА","")</f>
        <v/>
      </c>
      <c r="Z216" s="2" t="n"/>
    </row>
    <row r="217">
      <c r="A217" s="6">
        <f>IF($G217="","","BUG-"&amp;TEXT(ROW()-1,"000"))</f>
        <v/>
      </c>
      <c r="B217" s="7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8" t="n"/>
      <c r="L217" s="8" t="n"/>
      <c r="M217" s="6" t="n"/>
      <c r="N217" s="8" t="n"/>
      <c r="O217" s="6" t="n"/>
      <c r="P217" s="7" t="n"/>
      <c r="Q217" s="7" t="n"/>
      <c r="R217" s="9">
        <f>IF(AND($B217&lt;&gt;"",$Q217&lt;&gt;""),$Q217-$B217,"")</f>
        <v/>
      </c>
      <c r="S217" s="6" t="n"/>
      <c r="T217" s="6" t="n"/>
      <c r="U217" s="6" t="n"/>
      <c r="V217" s="8" t="n"/>
      <c r="W217" s="7" t="n"/>
      <c r="X217" s="8" t="n"/>
      <c r="Y217" s="8">
        <f>IF(AND($P217&lt;&gt;"",$Q217="",$P217&lt;TODAY(),OR($N217="Новый",$N217="В работе",$N217="На проверке (QA)",$N217="Отложен")),"ДА","")</f>
        <v/>
      </c>
      <c r="Z217" s="6" t="n"/>
    </row>
    <row r="218">
      <c r="A218" s="2">
        <f>IF($G218="","","BUG-"&amp;TEXT(ROW()-1,"000"))</f>
        <v/>
      </c>
      <c r="B218" s="3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4" t="n"/>
      <c r="L218" s="4" t="n"/>
      <c r="M218" s="2" t="n"/>
      <c r="N218" s="4" t="n"/>
      <c r="O218" s="2" t="n"/>
      <c r="P218" s="3" t="n"/>
      <c r="Q218" s="3" t="n"/>
      <c r="R218" s="5">
        <f>IF(AND($B218&lt;&gt;"",$Q218&lt;&gt;""),$Q218-$B218,"")</f>
        <v/>
      </c>
      <c r="S218" s="2" t="n"/>
      <c r="T218" s="2" t="n"/>
      <c r="U218" s="2" t="n"/>
      <c r="V218" s="4" t="n"/>
      <c r="W218" s="3" t="n"/>
      <c r="X218" s="4" t="n"/>
      <c r="Y218" s="4">
        <f>IF(AND($P218&lt;&gt;"",$Q218="",$P218&lt;TODAY(),OR($N218="Новый",$N218="В работе",$N218="На проверке (QA)",$N218="Отложен")),"ДА","")</f>
        <v/>
      </c>
      <c r="Z218" s="2" t="n"/>
    </row>
    <row r="219">
      <c r="A219" s="6">
        <f>IF($G219="","","BUG-"&amp;TEXT(ROW()-1,"000"))</f>
        <v/>
      </c>
      <c r="B219" s="7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8" t="n"/>
      <c r="L219" s="8" t="n"/>
      <c r="M219" s="6" t="n"/>
      <c r="N219" s="8" t="n"/>
      <c r="O219" s="6" t="n"/>
      <c r="P219" s="7" t="n"/>
      <c r="Q219" s="7" t="n"/>
      <c r="R219" s="9">
        <f>IF(AND($B219&lt;&gt;"",$Q219&lt;&gt;""),$Q219-$B219,"")</f>
        <v/>
      </c>
      <c r="S219" s="6" t="n"/>
      <c r="T219" s="6" t="n"/>
      <c r="U219" s="6" t="n"/>
      <c r="V219" s="8" t="n"/>
      <c r="W219" s="7" t="n"/>
      <c r="X219" s="8" t="n"/>
      <c r="Y219" s="8">
        <f>IF(AND($P219&lt;&gt;"",$Q219="",$P219&lt;TODAY(),OR($N219="Новый",$N219="В работе",$N219="На проверке (QA)",$N219="Отложен")),"ДА","")</f>
        <v/>
      </c>
      <c r="Z219" s="6" t="n"/>
    </row>
    <row r="220">
      <c r="A220" s="2">
        <f>IF($G220="","","BUG-"&amp;TEXT(ROW()-1,"000"))</f>
        <v/>
      </c>
      <c r="B220" s="3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4" t="n"/>
      <c r="L220" s="4" t="n"/>
      <c r="M220" s="2" t="n"/>
      <c r="N220" s="4" t="n"/>
      <c r="O220" s="2" t="n"/>
      <c r="P220" s="3" t="n"/>
      <c r="Q220" s="3" t="n"/>
      <c r="R220" s="5">
        <f>IF(AND($B220&lt;&gt;"",$Q220&lt;&gt;""),$Q220-$B220,"")</f>
        <v/>
      </c>
      <c r="S220" s="2" t="n"/>
      <c r="T220" s="2" t="n"/>
      <c r="U220" s="2" t="n"/>
      <c r="V220" s="4" t="n"/>
      <c r="W220" s="3" t="n"/>
      <c r="X220" s="4" t="n"/>
      <c r="Y220" s="4">
        <f>IF(AND($P220&lt;&gt;"",$Q220="",$P220&lt;TODAY(),OR($N220="Новый",$N220="В работе",$N220="На проверке (QA)",$N220="Отложен")),"ДА","")</f>
        <v/>
      </c>
      <c r="Z220" s="2" t="n"/>
    </row>
    <row r="221">
      <c r="A221" s="6">
        <f>IF($G221="","","BUG-"&amp;TEXT(ROW()-1,"000"))</f>
        <v/>
      </c>
      <c r="B221" s="7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8" t="n"/>
      <c r="L221" s="8" t="n"/>
      <c r="M221" s="6" t="n"/>
      <c r="N221" s="8" t="n"/>
      <c r="O221" s="6" t="n"/>
      <c r="P221" s="7" t="n"/>
      <c r="Q221" s="7" t="n"/>
      <c r="R221" s="9">
        <f>IF(AND($B221&lt;&gt;"",$Q221&lt;&gt;""),$Q221-$B221,"")</f>
        <v/>
      </c>
      <c r="S221" s="6" t="n"/>
      <c r="T221" s="6" t="n"/>
      <c r="U221" s="6" t="n"/>
      <c r="V221" s="8" t="n"/>
      <c r="W221" s="7" t="n"/>
      <c r="X221" s="8" t="n"/>
      <c r="Y221" s="8">
        <f>IF(AND($P221&lt;&gt;"",$Q221="",$P221&lt;TODAY(),OR($N221="Новый",$N221="В работе",$N221="На проверке (QA)",$N221="Отложен")),"ДА","")</f>
        <v/>
      </c>
      <c r="Z221" s="6" t="n"/>
    </row>
    <row r="222">
      <c r="A222" s="2">
        <f>IF($G222="","","BUG-"&amp;TEXT(ROW()-1,"000"))</f>
        <v/>
      </c>
      <c r="B222" s="3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4" t="n"/>
      <c r="L222" s="4" t="n"/>
      <c r="M222" s="2" t="n"/>
      <c r="N222" s="4" t="n"/>
      <c r="O222" s="2" t="n"/>
      <c r="P222" s="3" t="n"/>
      <c r="Q222" s="3" t="n"/>
      <c r="R222" s="5">
        <f>IF(AND($B222&lt;&gt;"",$Q222&lt;&gt;""),$Q222-$B222,"")</f>
        <v/>
      </c>
      <c r="S222" s="2" t="n"/>
      <c r="T222" s="2" t="n"/>
      <c r="U222" s="2" t="n"/>
      <c r="V222" s="4" t="n"/>
      <c r="W222" s="3" t="n"/>
      <c r="X222" s="4" t="n"/>
      <c r="Y222" s="4">
        <f>IF(AND($P222&lt;&gt;"",$Q222="",$P222&lt;TODAY(),OR($N222="Новый",$N222="В работе",$N222="На проверке (QA)",$N222="Отложен")),"ДА","")</f>
        <v/>
      </c>
      <c r="Z222" s="2" t="n"/>
    </row>
    <row r="223">
      <c r="A223" s="6">
        <f>IF($G223="","","BUG-"&amp;TEXT(ROW()-1,"000"))</f>
        <v/>
      </c>
      <c r="B223" s="7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8" t="n"/>
      <c r="L223" s="8" t="n"/>
      <c r="M223" s="6" t="n"/>
      <c r="N223" s="8" t="n"/>
      <c r="O223" s="6" t="n"/>
      <c r="P223" s="7" t="n"/>
      <c r="Q223" s="7" t="n"/>
      <c r="R223" s="9">
        <f>IF(AND($B223&lt;&gt;"",$Q223&lt;&gt;""),$Q223-$B223,"")</f>
        <v/>
      </c>
      <c r="S223" s="6" t="n"/>
      <c r="T223" s="6" t="n"/>
      <c r="U223" s="6" t="n"/>
      <c r="V223" s="8" t="n"/>
      <c r="W223" s="7" t="n"/>
      <c r="X223" s="8" t="n"/>
      <c r="Y223" s="8">
        <f>IF(AND($P223&lt;&gt;"",$Q223="",$P223&lt;TODAY(),OR($N223="Новый",$N223="В работе",$N223="На проверке (QA)",$N223="Отложен")),"ДА","")</f>
        <v/>
      </c>
      <c r="Z223" s="6" t="n"/>
    </row>
    <row r="224">
      <c r="A224" s="2">
        <f>IF($G224="","","BUG-"&amp;TEXT(ROW()-1,"000"))</f>
        <v/>
      </c>
      <c r="B224" s="3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4" t="n"/>
      <c r="L224" s="4" t="n"/>
      <c r="M224" s="2" t="n"/>
      <c r="N224" s="4" t="n"/>
      <c r="O224" s="2" t="n"/>
      <c r="P224" s="3" t="n"/>
      <c r="Q224" s="3" t="n"/>
      <c r="R224" s="5">
        <f>IF(AND($B224&lt;&gt;"",$Q224&lt;&gt;""),$Q224-$B224,"")</f>
        <v/>
      </c>
      <c r="S224" s="2" t="n"/>
      <c r="T224" s="2" t="n"/>
      <c r="U224" s="2" t="n"/>
      <c r="V224" s="4" t="n"/>
      <c r="W224" s="3" t="n"/>
      <c r="X224" s="4" t="n"/>
      <c r="Y224" s="4">
        <f>IF(AND($P224&lt;&gt;"",$Q224="",$P224&lt;TODAY(),OR($N224="Новый",$N224="В работе",$N224="На проверке (QA)",$N224="Отложен")),"ДА","")</f>
        <v/>
      </c>
      <c r="Z224" s="2" t="n"/>
    </row>
    <row r="225">
      <c r="A225" s="6">
        <f>IF($G225="","","BUG-"&amp;TEXT(ROW()-1,"000"))</f>
        <v/>
      </c>
      <c r="B225" s="7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8" t="n"/>
      <c r="L225" s="8" t="n"/>
      <c r="M225" s="6" t="n"/>
      <c r="N225" s="8" t="n"/>
      <c r="O225" s="6" t="n"/>
      <c r="P225" s="7" t="n"/>
      <c r="Q225" s="7" t="n"/>
      <c r="R225" s="9">
        <f>IF(AND($B225&lt;&gt;"",$Q225&lt;&gt;""),$Q225-$B225,"")</f>
        <v/>
      </c>
      <c r="S225" s="6" t="n"/>
      <c r="T225" s="6" t="n"/>
      <c r="U225" s="6" t="n"/>
      <c r="V225" s="8" t="n"/>
      <c r="W225" s="7" t="n"/>
      <c r="X225" s="8" t="n"/>
      <c r="Y225" s="8">
        <f>IF(AND($P225&lt;&gt;"",$Q225="",$P225&lt;TODAY(),OR($N225="Новый",$N225="В работе",$N225="На проверке (QA)",$N225="Отложен")),"ДА","")</f>
        <v/>
      </c>
      <c r="Z225" s="6" t="n"/>
    </row>
    <row r="226">
      <c r="A226" s="2">
        <f>IF($G226="","","BUG-"&amp;TEXT(ROW()-1,"000"))</f>
        <v/>
      </c>
      <c r="B226" s="3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4" t="n"/>
      <c r="L226" s="4" t="n"/>
      <c r="M226" s="2" t="n"/>
      <c r="N226" s="4" t="n"/>
      <c r="O226" s="2" t="n"/>
      <c r="P226" s="3" t="n"/>
      <c r="Q226" s="3" t="n"/>
      <c r="R226" s="5">
        <f>IF(AND($B226&lt;&gt;"",$Q226&lt;&gt;""),$Q226-$B226,"")</f>
        <v/>
      </c>
      <c r="S226" s="2" t="n"/>
      <c r="T226" s="2" t="n"/>
      <c r="U226" s="2" t="n"/>
      <c r="V226" s="4" t="n"/>
      <c r="W226" s="3" t="n"/>
      <c r="X226" s="4" t="n"/>
      <c r="Y226" s="4">
        <f>IF(AND($P226&lt;&gt;"",$Q226="",$P226&lt;TODAY(),OR($N226="Новый",$N226="В работе",$N226="На проверке (QA)",$N226="Отложен")),"ДА","")</f>
        <v/>
      </c>
      <c r="Z226" s="2" t="n"/>
    </row>
    <row r="227">
      <c r="A227" s="6">
        <f>IF($G227="","","BUG-"&amp;TEXT(ROW()-1,"000"))</f>
        <v/>
      </c>
      <c r="B227" s="7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8" t="n"/>
      <c r="L227" s="8" t="n"/>
      <c r="M227" s="6" t="n"/>
      <c r="N227" s="8" t="n"/>
      <c r="O227" s="6" t="n"/>
      <c r="P227" s="7" t="n"/>
      <c r="Q227" s="7" t="n"/>
      <c r="R227" s="9">
        <f>IF(AND($B227&lt;&gt;"",$Q227&lt;&gt;""),$Q227-$B227,"")</f>
        <v/>
      </c>
      <c r="S227" s="6" t="n"/>
      <c r="T227" s="6" t="n"/>
      <c r="U227" s="6" t="n"/>
      <c r="V227" s="8" t="n"/>
      <c r="W227" s="7" t="n"/>
      <c r="X227" s="8" t="n"/>
      <c r="Y227" s="8">
        <f>IF(AND($P227&lt;&gt;"",$Q227="",$P227&lt;TODAY(),OR($N227="Новый",$N227="В работе",$N227="На проверке (QA)",$N227="Отложен")),"ДА","")</f>
        <v/>
      </c>
      <c r="Z227" s="6" t="n"/>
    </row>
    <row r="228">
      <c r="A228" s="2">
        <f>IF($G228="","","BUG-"&amp;TEXT(ROW()-1,"000"))</f>
        <v/>
      </c>
      <c r="B228" s="3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4" t="n"/>
      <c r="L228" s="4" t="n"/>
      <c r="M228" s="2" t="n"/>
      <c r="N228" s="4" t="n"/>
      <c r="O228" s="2" t="n"/>
      <c r="P228" s="3" t="n"/>
      <c r="Q228" s="3" t="n"/>
      <c r="R228" s="5">
        <f>IF(AND($B228&lt;&gt;"",$Q228&lt;&gt;""),$Q228-$B228,"")</f>
        <v/>
      </c>
      <c r="S228" s="2" t="n"/>
      <c r="T228" s="2" t="n"/>
      <c r="U228" s="2" t="n"/>
      <c r="V228" s="4" t="n"/>
      <c r="W228" s="3" t="n"/>
      <c r="X228" s="4" t="n"/>
      <c r="Y228" s="4">
        <f>IF(AND($P228&lt;&gt;"",$Q228="",$P228&lt;TODAY(),OR($N228="Новый",$N228="В работе",$N228="На проверке (QA)",$N228="Отложен")),"ДА","")</f>
        <v/>
      </c>
      <c r="Z228" s="2" t="n"/>
    </row>
    <row r="229">
      <c r="A229" s="6">
        <f>IF($G229="","","BUG-"&amp;TEXT(ROW()-1,"000"))</f>
        <v/>
      </c>
      <c r="B229" s="7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8" t="n"/>
      <c r="L229" s="8" t="n"/>
      <c r="M229" s="6" t="n"/>
      <c r="N229" s="8" t="n"/>
      <c r="O229" s="6" t="n"/>
      <c r="P229" s="7" t="n"/>
      <c r="Q229" s="7" t="n"/>
      <c r="R229" s="9">
        <f>IF(AND($B229&lt;&gt;"",$Q229&lt;&gt;""),$Q229-$B229,"")</f>
        <v/>
      </c>
      <c r="S229" s="6" t="n"/>
      <c r="T229" s="6" t="n"/>
      <c r="U229" s="6" t="n"/>
      <c r="V229" s="8" t="n"/>
      <c r="W229" s="7" t="n"/>
      <c r="X229" s="8" t="n"/>
      <c r="Y229" s="8">
        <f>IF(AND($P229&lt;&gt;"",$Q229="",$P229&lt;TODAY(),OR($N229="Новый",$N229="В работе",$N229="На проверке (QA)",$N229="Отложен")),"ДА","")</f>
        <v/>
      </c>
      <c r="Z229" s="6" t="n"/>
    </row>
    <row r="230">
      <c r="A230" s="2">
        <f>IF($G230="","","BUG-"&amp;TEXT(ROW()-1,"000"))</f>
        <v/>
      </c>
      <c r="B230" s="3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4" t="n"/>
      <c r="L230" s="4" t="n"/>
      <c r="M230" s="2" t="n"/>
      <c r="N230" s="4" t="n"/>
      <c r="O230" s="2" t="n"/>
      <c r="P230" s="3" t="n"/>
      <c r="Q230" s="3" t="n"/>
      <c r="R230" s="5">
        <f>IF(AND($B230&lt;&gt;"",$Q230&lt;&gt;""),$Q230-$B230,"")</f>
        <v/>
      </c>
      <c r="S230" s="2" t="n"/>
      <c r="T230" s="2" t="n"/>
      <c r="U230" s="2" t="n"/>
      <c r="V230" s="4" t="n"/>
      <c r="W230" s="3" t="n"/>
      <c r="X230" s="4" t="n"/>
      <c r="Y230" s="4">
        <f>IF(AND($P230&lt;&gt;"",$Q230="",$P230&lt;TODAY(),OR($N230="Новый",$N230="В работе",$N230="На проверке (QA)",$N230="Отложен")),"ДА","")</f>
        <v/>
      </c>
      <c r="Z230" s="2" t="n"/>
    </row>
    <row r="231">
      <c r="A231" s="6">
        <f>IF($G231="","","BUG-"&amp;TEXT(ROW()-1,"000"))</f>
        <v/>
      </c>
      <c r="B231" s="7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8" t="n"/>
      <c r="L231" s="8" t="n"/>
      <c r="M231" s="6" t="n"/>
      <c r="N231" s="8" t="n"/>
      <c r="O231" s="6" t="n"/>
      <c r="P231" s="7" t="n"/>
      <c r="Q231" s="7" t="n"/>
      <c r="R231" s="9">
        <f>IF(AND($B231&lt;&gt;"",$Q231&lt;&gt;""),$Q231-$B231,"")</f>
        <v/>
      </c>
      <c r="S231" s="6" t="n"/>
      <c r="T231" s="6" t="n"/>
      <c r="U231" s="6" t="n"/>
      <c r="V231" s="8" t="n"/>
      <c r="W231" s="7" t="n"/>
      <c r="X231" s="8" t="n"/>
      <c r="Y231" s="8">
        <f>IF(AND($P231&lt;&gt;"",$Q231="",$P231&lt;TODAY(),OR($N231="Новый",$N231="В работе",$N231="На проверке (QA)",$N231="Отложен")),"ДА","")</f>
        <v/>
      </c>
      <c r="Z231" s="6" t="n"/>
    </row>
    <row r="232">
      <c r="A232" s="2">
        <f>IF($G232="","","BUG-"&amp;TEXT(ROW()-1,"000"))</f>
        <v/>
      </c>
      <c r="B232" s="3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4" t="n"/>
      <c r="L232" s="4" t="n"/>
      <c r="M232" s="2" t="n"/>
      <c r="N232" s="4" t="n"/>
      <c r="O232" s="2" t="n"/>
      <c r="P232" s="3" t="n"/>
      <c r="Q232" s="3" t="n"/>
      <c r="R232" s="5">
        <f>IF(AND($B232&lt;&gt;"",$Q232&lt;&gt;""),$Q232-$B232,"")</f>
        <v/>
      </c>
      <c r="S232" s="2" t="n"/>
      <c r="T232" s="2" t="n"/>
      <c r="U232" s="2" t="n"/>
      <c r="V232" s="4" t="n"/>
      <c r="W232" s="3" t="n"/>
      <c r="X232" s="4" t="n"/>
      <c r="Y232" s="4">
        <f>IF(AND($P232&lt;&gt;"",$Q232="",$P232&lt;TODAY(),OR($N232="Новый",$N232="В работе",$N232="На проверке (QA)",$N232="Отложен")),"ДА","")</f>
        <v/>
      </c>
      <c r="Z232" s="2" t="n"/>
    </row>
    <row r="233">
      <c r="A233" s="6">
        <f>IF($G233="","","BUG-"&amp;TEXT(ROW()-1,"000"))</f>
        <v/>
      </c>
      <c r="B233" s="7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8" t="n"/>
      <c r="L233" s="8" t="n"/>
      <c r="M233" s="6" t="n"/>
      <c r="N233" s="8" t="n"/>
      <c r="O233" s="6" t="n"/>
      <c r="P233" s="7" t="n"/>
      <c r="Q233" s="7" t="n"/>
      <c r="R233" s="9">
        <f>IF(AND($B233&lt;&gt;"",$Q233&lt;&gt;""),$Q233-$B233,"")</f>
        <v/>
      </c>
      <c r="S233" s="6" t="n"/>
      <c r="T233" s="6" t="n"/>
      <c r="U233" s="6" t="n"/>
      <c r="V233" s="8" t="n"/>
      <c r="W233" s="7" t="n"/>
      <c r="X233" s="8" t="n"/>
      <c r="Y233" s="8">
        <f>IF(AND($P233&lt;&gt;"",$Q233="",$P233&lt;TODAY(),OR($N233="Новый",$N233="В работе",$N233="На проверке (QA)",$N233="Отложен")),"ДА","")</f>
        <v/>
      </c>
      <c r="Z233" s="6" t="n"/>
    </row>
    <row r="234">
      <c r="A234" s="2">
        <f>IF($G234="","","BUG-"&amp;TEXT(ROW()-1,"000"))</f>
        <v/>
      </c>
      <c r="B234" s="3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4" t="n"/>
      <c r="L234" s="4" t="n"/>
      <c r="M234" s="2" t="n"/>
      <c r="N234" s="4" t="n"/>
      <c r="O234" s="2" t="n"/>
      <c r="P234" s="3" t="n"/>
      <c r="Q234" s="3" t="n"/>
      <c r="R234" s="5">
        <f>IF(AND($B234&lt;&gt;"",$Q234&lt;&gt;""),$Q234-$B234,"")</f>
        <v/>
      </c>
      <c r="S234" s="2" t="n"/>
      <c r="T234" s="2" t="n"/>
      <c r="U234" s="2" t="n"/>
      <c r="V234" s="4" t="n"/>
      <c r="W234" s="3" t="n"/>
      <c r="X234" s="4" t="n"/>
      <c r="Y234" s="4">
        <f>IF(AND($P234&lt;&gt;"",$Q234="",$P234&lt;TODAY(),OR($N234="Новый",$N234="В работе",$N234="На проверке (QA)",$N234="Отложен")),"ДА","")</f>
        <v/>
      </c>
      <c r="Z234" s="2" t="n"/>
    </row>
    <row r="235">
      <c r="A235" s="6">
        <f>IF($G235="","","BUG-"&amp;TEXT(ROW()-1,"000"))</f>
        <v/>
      </c>
      <c r="B235" s="7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8" t="n"/>
      <c r="L235" s="8" t="n"/>
      <c r="M235" s="6" t="n"/>
      <c r="N235" s="8" t="n"/>
      <c r="O235" s="6" t="n"/>
      <c r="P235" s="7" t="n"/>
      <c r="Q235" s="7" t="n"/>
      <c r="R235" s="9">
        <f>IF(AND($B235&lt;&gt;"",$Q235&lt;&gt;""),$Q235-$B235,"")</f>
        <v/>
      </c>
      <c r="S235" s="6" t="n"/>
      <c r="T235" s="6" t="n"/>
      <c r="U235" s="6" t="n"/>
      <c r="V235" s="8" t="n"/>
      <c r="W235" s="7" t="n"/>
      <c r="X235" s="8" t="n"/>
      <c r="Y235" s="8">
        <f>IF(AND($P235&lt;&gt;"",$Q235="",$P235&lt;TODAY(),OR($N235="Новый",$N235="В работе",$N235="На проверке (QA)",$N235="Отложен")),"ДА","")</f>
        <v/>
      </c>
      <c r="Z235" s="6" t="n"/>
    </row>
    <row r="236">
      <c r="A236" s="2">
        <f>IF($G236="","","BUG-"&amp;TEXT(ROW()-1,"000"))</f>
        <v/>
      </c>
      <c r="B236" s="3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4" t="n"/>
      <c r="L236" s="4" t="n"/>
      <c r="M236" s="2" t="n"/>
      <c r="N236" s="4" t="n"/>
      <c r="O236" s="2" t="n"/>
      <c r="P236" s="3" t="n"/>
      <c r="Q236" s="3" t="n"/>
      <c r="R236" s="5">
        <f>IF(AND($B236&lt;&gt;"",$Q236&lt;&gt;""),$Q236-$B236,"")</f>
        <v/>
      </c>
      <c r="S236" s="2" t="n"/>
      <c r="T236" s="2" t="n"/>
      <c r="U236" s="2" t="n"/>
      <c r="V236" s="4" t="n"/>
      <c r="W236" s="3" t="n"/>
      <c r="X236" s="4" t="n"/>
      <c r="Y236" s="4">
        <f>IF(AND($P236&lt;&gt;"",$Q236="",$P236&lt;TODAY(),OR($N236="Новый",$N236="В работе",$N236="На проверке (QA)",$N236="Отложен")),"ДА","")</f>
        <v/>
      </c>
      <c r="Z236" s="2" t="n"/>
    </row>
    <row r="237">
      <c r="A237" s="6">
        <f>IF($G237="","","BUG-"&amp;TEXT(ROW()-1,"000"))</f>
        <v/>
      </c>
      <c r="B237" s="7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8" t="n"/>
      <c r="L237" s="8" t="n"/>
      <c r="M237" s="6" t="n"/>
      <c r="N237" s="8" t="n"/>
      <c r="O237" s="6" t="n"/>
      <c r="P237" s="7" t="n"/>
      <c r="Q237" s="7" t="n"/>
      <c r="R237" s="9">
        <f>IF(AND($B237&lt;&gt;"",$Q237&lt;&gt;""),$Q237-$B237,"")</f>
        <v/>
      </c>
      <c r="S237" s="6" t="n"/>
      <c r="T237" s="6" t="n"/>
      <c r="U237" s="6" t="n"/>
      <c r="V237" s="8" t="n"/>
      <c r="W237" s="7" t="n"/>
      <c r="X237" s="8" t="n"/>
      <c r="Y237" s="8">
        <f>IF(AND($P237&lt;&gt;"",$Q237="",$P237&lt;TODAY(),OR($N237="Новый",$N237="В работе",$N237="На проверке (QA)",$N237="Отложен")),"ДА","")</f>
        <v/>
      </c>
      <c r="Z237" s="6" t="n"/>
    </row>
    <row r="238">
      <c r="A238" s="2">
        <f>IF($G238="","","BUG-"&amp;TEXT(ROW()-1,"000"))</f>
        <v/>
      </c>
      <c r="B238" s="3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4" t="n"/>
      <c r="L238" s="4" t="n"/>
      <c r="M238" s="2" t="n"/>
      <c r="N238" s="4" t="n"/>
      <c r="O238" s="2" t="n"/>
      <c r="P238" s="3" t="n"/>
      <c r="Q238" s="3" t="n"/>
      <c r="R238" s="5">
        <f>IF(AND($B238&lt;&gt;"",$Q238&lt;&gt;""),$Q238-$B238,"")</f>
        <v/>
      </c>
      <c r="S238" s="2" t="n"/>
      <c r="T238" s="2" t="n"/>
      <c r="U238" s="2" t="n"/>
      <c r="V238" s="4" t="n"/>
      <c r="W238" s="3" t="n"/>
      <c r="X238" s="4" t="n"/>
      <c r="Y238" s="4">
        <f>IF(AND($P238&lt;&gt;"",$Q238="",$P238&lt;TODAY(),OR($N238="Новый",$N238="В работе",$N238="На проверке (QA)",$N238="Отложен")),"ДА","")</f>
        <v/>
      </c>
      <c r="Z238" s="2" t="n"/>
    </row>
    <row r="239">
      <c r="A239" s="6">
        <f>IF($G239="","","BUG-"&amp;TEXT(ROW()-1,"000"))</f>
        <v/>
      </c>
      <c r="B239" s="7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8" t="n"/>
      <c r="L239" s="8" t="n"/>
      <c r="M239" s="6" t="n"/>
      <c r="N239" s="8" t="n"/>
      <c r="O239" s="6" t="n"/>
      <c r="P239" s="7" t="n"/>
      <c r="Q239" s="7" t="n"/>
      <c r="R239" s="9">
        <f>IF(AND($B239&lt;&gt;"",$Q239&lt;&gt;""),$Q239-$B239,"")</f>
        <v/>
      </c>
      <c r="S239" s="6" t="n"/>
      <c r="T239" s="6" t="n"/>
      <c r="U239" s="6" t="n"/>
      <c r="V239" s="8" t="n"/>
      <c r="W239" s="7" t="n"/>
      <c r="X239" s="8" t="n"/>
      <c r="Y239" s="8">
        <f>IF(AND($P239&lt;&gt;"",$Q239="",$P239&lt;TODAY(),OR($N239="Новый",$N239="В работе",$N239="На проверке (QA)",$N239="Отложен")),"ДА","")</f>
        <v/>
      </c>
      <c r="Z239" s="6" t="n"/>
    </row>
    <row r="240">
      <c r="A240" s="2">
        <f>IF($G240="","","BUG-"&amp;TEXT(ROW()-1,"000"))</f>
        <v/>
      </c>
      <c r="B240" s="3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4" t="n"/>
      <c r="L240" s="4" t="n"/>
      <c r="M240" s="2" t="n"/>
      <c r="N240" s="4" t="n"/>
      <c r="O240" s="2" t="n"/>
      <c r="P240" s="3" t="n"/>
      <c r="Q240" s="3" t="n"/>
      <c r="R240" s="5">
        <f>IF(AND($B240&lt;&gt;"",$Q240&lt;&gt;""),$Q240-$B240,"")</f>
        <v/>
      </c>
      <c r="S240" s="2" t="n"/>
      <c r="T240" s="2" t="n"/>
      <c r="U240" s="2" t="n"/>
      <c r="V240" s="4" t="n"/>
      <c r="W240" s="3" t="n"/>
      <c r="X240" s="4" t="n"/>
      <c r="Y240" s="4">
        <f>IF(AND($P240&lt;&gt;"",$Q240="",$P240&lt;TODAY(),OR($N240="Новый",$N240="В работе",$N240="На проверке (QA)",$N240="Отложен")),"ДА","")</f>
        <v/>
      </c>
      <c r="Z240" s="2" t="n"/>
    </row>
    <row r="241">
      <c r="A241" s="6">
        <f>IF($G241="","","BUG-"&amp;TEXT(ROW()-1,"000"))</f>
        <v/>
      </c>
      <c r="B241" s="7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8" t="n"/>
      <c r="L241" s="8" t="n"/>
      <c r="M241" s="6" t="n"/>
      <c r="N241" s="8" t="n"/>
      <c r="O241" s="6" t="n"/>
      <c r="P241" s="7" t="n"/>
      <c r="Q241" s="7" t="n"/>
      <c r="R241" s="9">
        <f>IF(AND($B241&lt;&gt;"",$Q241&lt;&gt;""),$Q241-$B241,"")</f>
        <v/>
      </c>
      <c r="S241" s="6" t="n"/>
      <c r="T241" s="6" t="n"/>
      <c r="U241" s="6" t="n"/>
      <c r="V241" s="8" t="n"/>
      <c r="W241" s="7" t="n"/>
      <c r="X241" s="8" t="n"/>
      <c r="Y241" s="8">
        <f>IF(AND($P241&lt;&gt;"",$Q241="",$P241&lt;TODAY(),OR($N241="Новый",$N241="В работе",$N241="На проверке (QA)",$N241="Отложен")),"ДА","")</f>
        <v/>
      </c>
      <c r="Z241" s="6" t="n"/>
    </row>
    <row r="242">
      <c r="A242" s="2">
        <f>IF($G242="","","BUG-"&amp;TEXT(ROW()-1,"000"))</f>
        <v/>
      </c>
      <c r="B242" s="3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4" t="n"/>
      <c r="L242" s="4" t="n"/>
      <c r="M242" s="2" t="n"/>
      <c r="N242" s="4" t="n"/>
      <c r="O242" s="2" t="n"/>
      <c r="P242" s="3" t="n"/>
      <c r="Q242" s="3" t="n"/>
      <c r="R242" s="5">
        <f>IF(AND($B242&lt;&gt;"",$Q242&lt;&gt;""),$Q242-$B242,"")</f>
        <v/>
      </c>
      <c r="S242" s="2" t="n"/>
      <c r="T242" s="2" t="n"/>
      <c r="U242" s="2" t="n"/>
      <c r="V242" s="4" t="n"/>
      <c r="W242" s="3" t="n"/>
      <c r="X242" s="4" t="n"/>
      <c r="Y242" s="4">
        <f>IF(AND($P242&lt;&gt;"",$Q242="",$P242&lt;TODAY(),OR($N242="Новый",$N242="В работе",$N242="На проверке (QA)",$N242="Отложен")),"ДА","")</f>
        <v/>
      </c>
      <c r="Z242" s="2" t="n"/>
    </row>
    <row r="243">
      <c r="A243" s="6">
        <f>IF($G243="","","BUG-"&amp;TEXT(ROW()-1,"000"))</f>
        <v/>
      </c>
      <c r="B243" s="7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8" t="n"/>
      <c r="L243" s="8" t="n"/>
      <c r="M243" s="6" t="n"/>
      <c r="N243" s="8" t="n"/>
      <c r="O243" s="6" t="n"/>
      <c r="P243" s="7" t="n"/>
      <c r="Q243" s="7" t="n"/>
      <c r="R243" s="9">
        <f>IF(AND($B243&lt;&gt;"",$Q243&lt;&gt;""),$Q243-$B243,"")</f>
        <v/>
      </c>
      <c r="S243" s="6" t="n"/>
      <c r="T243" s="6" t="n"/>
      <c r="U243" s="6" t="n"/>
      <c r="V243" s="8" t="n"/>
      <c r="W243" s="7" t="n"/>
      <c r="X243" s="8" t="n"/>
      <c r="Y243" s="8">
        <f>IF(AND($P243&lt;&gt;"",$Q243="",$P243&lt;TODAY(),OR($N243="Новый",$N243="В работе",$N243="На проверке (QA)",$N243="Отложен")),"ДА","")</f>
        <v/>
      </c>
      <c r="Z243" s="6" t="n"/>
    </row>
    <row r="244">
      <c r="A244" s="2">
        <f>IF($G244="","","BUG-"&amp;TEXT(ROW()-1,"000"))</f>
        <v/>
      </c>
      <c r="B244" s="3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4" t="n"/>
      <c r="L244" s="4" t="n"/>
      <c r="M244" s="2" t="n"/>
      <c r="N244" s="4" t="n"/>
      <c r="O244" s="2" t="n"/>
      <c r="P244" s="3" t="n"/>
      <c r="Q244" s="3" t="n"/>
      <c r="R244" s="5">
        <f>IF(AND($B244&lt;&gt;"",$Q244&lt;&gt;""),$Q244-$B244,"")</f>
        <v/>
      </c>
      <c r="S244" s="2" t="n"/>
      <c r="T244" s="2" t="n"/>
      <c r="U244" s="2" t="n"/>
      <c r="V244" s="4" t="n"/>
      <c r="W244" s="3" t="n"/>
      <c r="X244" s="4" t="n"/>
      <c r="Y244" s="4">
        <f>IF(AND($P244&lt;&gt;"",$Q244="",$P244&lt;TODAY(),OR($N244="Новый",$N244="В работе",$N244="На проверке (QA)",$N244="Отложен")),"ДА","")</f>
        <v/>
      </c>
      <c r="Z244" s="2" t="n"/>
    </row>
    <row r="245">
      <c r="A245" s="6">
        <f>IF($G245="","","BUG-"&amp;TEXT(ROW()-1,"000"))</f>
        <v/>
      </c>
      <c r="B245" s="7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8" t="n"/>
      <c r="L245" s="8" t="n"/>
      <c r="M245" s="6" t="n"/>
      <c r="N245" s="8" t="n"/>
      <c r="O245" s="6" t="n"/>
      <c r="P245" s="7" t="n"/>
      <c r="Q245" s="7" t="n"/>
      <c r="R245" s="9">
        <f>IF(AND($B245&lt;&gt;"",$Q245&lt;&gt;""),$Q245-$B245,"")</f>
        <v/>
      </c>
      <c r="S245" s="6" t="n"/>
      <c r="T245" s="6" t="n"/>
      <c r="U245" s="6" t="n"/>
      <c r="V245" s="8" t="n"/>
      <c r="W245" s="7" t="n"/>
      <c r="X245" s="8" t="n"/>
      <c r="Y245" s="8">
        <f>IF(AND($P245&lt;&gt;"",$Q245="",$P245&lt;TODAY(),OR($N245="Новый",$N245="В работе",$N245="На проверке (QA)",$N245="Отложен")),"ДА","")</f>
        <v/>
      </c>
      <c r="Z245" s="6" t="n"/>
    </row>
    <row r="246">
      <c r="A246" s="2">
        <f>IF($G246="","","BUG-"&amp;TEXT(ROW()-1,"000"))</f>
        <v/>
      </c>
      <c r="B246" s="3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4" t="n"/>
      <c r="L246" s="4" t="n"/>
      <c r="M246" s="2" t="n"/>
      <c r="N246" s="4" t="n"/>
      <c r="O246" s="2" t="n"/>
      <c r="P246" s="3" t="n"/>
      <c r="Q246" s="3" t="n"/>
      <c r="R246" s="5">
        <f>IF(AND($B246&lt;&gt;"",$Q246&lt;&gt;""),$Q246-$B246,"")</f>
        <v/>
      </c>
      <c r="S246" s="2" t="n"/>
      <c r="T246" s="2" t="n"/>
      <c r="U246" s="2" t="n"/>
      <c r="V246" s="4" t="n"/>
      <c r="W246" s="3" t="n"/>
      <c r="X246" s="4" t="n"/>
      <c r="Y246" s="4">
        <f>IF(AND($P246&lt;&gt;"",$Q246="",$P246&lt;TODAY(),OR($N246="Новый",$N246="В работе",$N246="На проверке (QA)",$N246="Отложен")),"ДА","")</f>
        <v/>
      </c>
      <c r="Z246" s="2" t="n"/>
    </row>
    <row r="247">
      <c r="A247" s="6">
        <f>IF($G247="","","BUG-"&amp;TEXT(ROW()-1,"000"))</f>
        <v/>
      </c>
      <c r="B247" s="7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8" t="n"/>
      <c r="L247" s="8" t="n"/>
      <c r="M247" s="6" t="n"/>
      <c r="N247" s="8" t="n"/>
      <c r="O247" s="6" t="n"/>
      <c r="P247" s="7" t="n"/>
      <c r="Q247" s="7" t="n"/>
      <c r="R247" s="9">
        <f>IF(AND($B247&lt;&gt;"",$Q247&lt;&gt;""),$Q247-$B247,"")</f>
        <v/>
      </c>
      <c r="S247" s="6" t="n"/>
      <c r="T247" s="6" t="n"/>
      <c r="U247" s="6" t="n"/>
      <c r="V247" s="8" t="n"/>
      <c r="W247" s="7" t="n"/>
      <c r="X247" s="8" t="n"/>
      <c r="Y247" s="8">
        <f>IF(AND($P247&lt;&gt;"",$Q247="",$P247&lt;TODAY(),OR($N247="Новый",$N247="В работе",$N247="На проверке (QA)",$N247="Отложен")),"ДА","")</f>
        <v/>
      </c>
      <c r="Z247" s="6" t="n"/>
    </row>
    <row r="248">
      <c r="A248" s="2">
        <f>IF($G248="","","BUG-"&amp;TEXT(ROW()-1,"000"))</f>
        <v/>
      </c>
      <c r="B248" s="3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4" t="n"/>
      <c r="L248" s="4" t="n"/>
      <c r="M248" s="2" t="n"/>
      <c r="N248" s="4" t="n"/>
      <c r="O248" s="2" t="n"/>
      <c r="P248" s="3" t="n"/>
      <c r="Q248" s="3" t="n"/>
      <c r="R248" s="5">
        <f>IF(AND($B248&lt;&gt;"",$Q248&lt;&gt;""),$Q248-$B248,"")</f>
        <v/>
      </c>
      <c r="S248" s="2" t="n"/>
      <c r="T248" s="2" t="n"/>
      <c r="U248" s="2" t="n"/>
      <c r="V248" s="4" t="n"/>
      <c r="W248" s="3" t="n"/>
      <c r="X248" s="4" t="n"/>
      <c r="Y248" s="4">
        <f>IF(AND($P248&lt;&gt;"",$Q248="",$P248&lt;TODAY(),OR($N248="Новый",$N248="В работе",$N248="На проверке (QA)",$N248="Отложен")),"ДА","")</f>
        <v/>
      </c>
      <c r="Z248" s="2" t="n"/>
    </row>
    <row r="249">
      <c r="A249" s="6">
        <f>IF($G249="","","BUG-"&amp;TEXT(ROW()-1,"000"))</f>
        <v/>
      </c>
      <c r="B249" s="7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8" t="n"/>
      <c r="L249" s="8" t="n"/>
      <c r="M249" s="6" t="n"/>
      <c r="N249" s="8" t="n"/>
      <c r="O249" s="6" t="n"/>
      <c r="P249" s="7" t="n"/>
      <c r="Q249" s="7" t="n"/>
      <c r="R249" s="9">
        <f>IF(AND($B249&lt;&gt;"",$Q249&lt;&gt;""),$Q249-$B249,"")</f>
        <v/>
      </c>
      <c r="S249" s="6" t="n"/>
      <c r="T249" s="6" t="n"/>
      <c r="U249" s="6" t="n"/>
      <c r="V249" s="8" t="n"/>
      <c r="W249" s="7" t="n"/>
      <c r="X249" s="8" t="n"/>
      <c r="Y249" s="8">
        <f>IF(AND($P249&lt;&gt;"",$Q249="",$P249&lt;TODAY(),OR($N249="Новый",$N249="В работе",$N249="На проверке (QA)",$N249="Отложен")),"ДА","")</f>
        <v/>
      </c>
      <c r="Z249" s="6" t="n"/>
    </row>
    <row r="250">
      <c r="A250" s="2">
        <f>IF($G250="","","BUG-"&amp;TEXT(ROW()-1,"000"))</f>
        <v/>
      </c>
      <c r="B250" s="3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4" t="n"/>
      <c r="L250" s="4" t="n"/>
      <c r="M250" s="2" t="n"/>
      <c r="N250" s="4" t="n"/>
      <c r="O250" s="2" t="n"/>
      <c r="P250" s="3" t="n"/>
      <c r="Q250" s="3" t="n"/>
      <c r="R250" s="5">
        <f>IF(AND($B250&lt;&gt;"",$Q250&lt;&gt;""),$Q250-$B250,"")</f>
        <v/>
      </c>
      <c r="S250" s="2" t="n"/>
      <c r="T250" s="2" t="n"/>
      <c r="U250" s="2" t="n"/>
      <c r="V250" s="4" t="n"/>
      <c r="W250" s="3" t="n"/>
      <c r="X250" s="4" t="n"/>
      <c r="Y250" s="4">
        <f>IF(AND($P250&lt;&gt;"",$Q250="",$P250&lt;TODAY(),OR($N250="Новый",$N250="В работе",$N250="На проверке (QA)",$N250="Отложен")),"ДА","")</f>
        <v/>
      </c>
      <c r="Z250" s="2" t="n"/>
    </row>
    <row r="251">
      <c r="A251" s="6">
        <f>IF($G251="","","BUG-"&amp;TEXT(ROW()-1,"000"))</f>
        <v/>
      </c>
      <c r="B251" s="7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8" t="n"/>
      <c r="L251" s="8" t="n"/>
      <c r="M251" s="6" t="n"/>
      <c r="N251" s="8" t="n"/>
      <c r="O251" s="6" t="n"/>
      <c r="P251" s="7" t="n"/>
      <c r="Q251" s="7" t="n"/>
      <c r="R251" s="9">
        <f>IF(AND($B251&lt;&gt;"",$Q251&lt;&gt;""),$Q251-$B251,"")</f>
        <v/>
      </c>
      <c r="S251" s="6" t="n"/>
      <c r="T251" s="6" t="n"/>
      <c r="U251" s="6" t="n"/>
      <c r="V251" s="8" t="n"/>
      <c r="W251" s="7" t="n"/>
      <c r="X251" s="8" t="n"/>
      <c r="Y251" s="8">
        <f>IF(AND($P251&lt;&gt;"",$Q251="",$P251&lt;TODAY(),OR($N251="Новый",$N251="В работе",$N251="На проверке (QA)",$N251="Отложен")),"ДА","")</f>
        <v/>
      </c>
      <c r="Z251" s="6" t="n"/>
    </row>
    <row r="252">
      <c r="A252" s="2">
        <f>IF($G252="","","BUG-"&amp;TEXT(ROW()-1,"000"))</f>
        <v/>
      </c>
      <c r="B252" s="3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4" t="n"/>
      <c r="L252" s="4" t="n"/>
      <c r="M252" s="2" t="n"/>
      <c r="N252" s="4" t="n"/>
      <c r="O252" s="2" t="n"/>
      <c r="P252" s="3" t="n"/>
      <c r="Q252" s="3" t="n"/>
      <c r="R252" s="5">
        <f>IF(AND($B252&lt;&gt;"",$Q252&lt;&gt;""),$Q252-$B252,"")</f>
        <v/>
      </c>
      <c r="S252" s="2" t="n"/>
      <c r="T252" s="2" t="n"/>
      <c r="U252" s="2" t="n"/>
      <c r="V252" s="4" t="n"/>
      <c r="W252" s="3" t="n"/>
      <c r="X252" s="4" t="n"/>
      <c r="Y252" s="4">
        <f>IF(AND($P252&lt;&gt;"",$Q252="",$P252&lt;TODAY(),OR($N252="Новый",$N252="В работе",$N252="На проверке (QA)",$N252="Отложен")),"ДА","")</f>
        <v/>
      </c>
      <c r="Z252" s="2" t="n"/>
    </row>
    <row r="253">
      <c r="A253" s="6">
        <f>IF($G253="","","BUG-"&amp;TEXT(ROW()-1,"000"))</f>
        <v/>
      </c>
      <c r="B253" s="7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8" t="n"/>
      <c r="L253" s="8" t="n"/>
      <c r="M253" s="6" t="n"/>
      <c r="N253" s="8" t="n"/>
      <c r="O253" s="6" t="n"/>
      <c r="P253" s="7" t="n"/>
      <c r="Q253" s="7" t="n"/>
      <c r="R253" s="9">
        <f>IF(AND($B253&lt;&gt;"",$Q253&lt;&gt;""),$Q253-$B253,"")</f>
        <v/>
      </c>
      <c r="S253" s="6" t="n"/>
      <c r="T253" s="6" t="n"/>
      <c r="U253" s="6" t="n"/>
      <c r="V253" s="8" t="n"/>
      <c r="W253" s="7" t="n"/>
      <c r="X253" s="8" t="n"/>
      <c r="Y253" s="8">
        <f>IF(AND($P253&lt;&gt;"",$Q253="",$P253&lt;TODAY(),OR($N253="Новый",$N253="В работе",$N253="На проверке (QA)",$N253="Отложен")),"ДА","")</f>
        <v/>
      </c>
      <c r="Z253" s="6" t="n"/>
    </row>
    <row r="254">
      <c r="A254" s="2">
        <f>IF($G254="","","BUG-"&amp;TEXT(ROW()-1,"000"))</f>
        <v/>
      </c>
      <c r="B254" s="3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4" t="n"/>
      <c r="L254" s="4" t="n"/>
      <c r="M254" s="2" t="n"/>
      <c r="N254" s="4" t="n"/>
      <c r="O254" s="2" t="n"/>
      <c r="P254" s="3" t="n"/>
      <c r="Q254" s="3" t="n"/>
      <c r="R254" s="5">
        <f>IF(AND($B254&lt;&gt;"",$Q254&lt;&gt;""),$Q254-$B254,"")</f>
        <v/>
      </c>
      <c r="S254" s="2" t="n"/>
      <c r="T254" s="2" t="n"/>
      <c r="U254" s="2" t="n"/>
      <c r="V254" s="4" t="n"/>
      <c r="W254" s="3" t="n"/>
      <c r="X254" s="4" t="n"/>
      <c r="Y254" s="4">
        <f>IF(AND($P254&lt;&gt;"",$Q254="",$P254&lt;TODAY(),OR($N254="Новый",$N254="В работе",$N254="На проверке (QA)",$N254="Отложен")),"ДА","")</f>
        <v/>
      </c>
      <c r="Z254" s="2" t="n"/>
    </row>
    <row r="255">
      <c r="A255" s="6">
        <f>IF($G255="","","BUG-"&amp;TEXT(ROW()-1,"000"))</f>
        <v/>
      </c>
      <c r="B255" s="7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8" t="n"/>
      <c r="L255" s="8" t="n"/>
      <c r="M255" s="6" t="n"/>
      <c r="N255" s="8" t="n"/>
      <c r="O255" s="6" t="n"/>
      <c r="P255" s="7" t="n"/>
      <c r="Q255" s="7" t="n"/>
      <c r="R255" s="9">
        <f>IF(AND($B255&lt;&gt;"",$Q255&lt;&gt;""),$Q255-$B255,"")</f>
        <v/>
      </c>
      <c r="S255" s="6" t="n"/>
      <c r="T255" s="6" t="n"/>
      <c r="U255" s="6" t="n"/>
      <c r="V255" s="8" t="n"/>
      <c r="W255" s="7" t="n"/>
      <c r="X255" s="8" t="n"/>
      <c r="Y255" s="8">
        <f>IF(AND($P255&lt;&gt;"",$Q255="",$P255&lt;TODAY(),OR($N255="Новый",$N255="В работе",$N255="На проверке (QA)",$N255="Отложен")),"ДА","")</f>
        <v/>
      </c>
      <c r="Z255" s="6" t="n"/>
    </row>
    <row r="256">
      <c r="A256" s="2">
        <f>IF($G256="","","BUG-"&amp;TEXT(ROW()-1,"000"))</f>
        <v/>
      </c>
      <c r="B256" s="3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4" t="n"/>
      <c r="L256" s="4" t="n"/>
      <c r="M256" s="2" t="n"/>
      <c r="N256" s="4" t="n"/>
      <c r="O256" s="2" t="n"/>
      <c r="P256" s="3" t="n"/>
      <c r="Q256" s="3" t="n"/>
      <c r="R256" s="5">
        <f>IF(AND($B256&lt;&gt;"",$Q256&lt;&gt;""),$Q256-$B256,"")</f>
        <v/>
      </c>
      <c r="S256" s="2" t="n"/>
      <c r="T256" s="2" t="n"/>
      <c r="U256" s="2" t="n"/>
      <c r="V256" s="4" t="n"/>
      <c r="W256" s="3" t="n"/>
      <c r="X256" s="4" t="n"/>
      <c r="Y256" s="4">
        <f>IF(AND($P256&lt;&gt;"",$Q256="",$P256&lt;TODAY(),OR($N256="Новый",$N256="В работе",$N256="На проверке (QA)",$N256="Отложен")),"ДА","")</f>
        <v/>
      </c>
      <c r="Z256" s="2" t="n"/>
    </row>
    <row r="257">
      <c r="A257" s="6">
        <f>IF($G257="","","BUG-"&amp;TEXT(ROW()-1,"000"))</f>
        <v/>
      </c>
      <c r="B257" s="7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8" t="n"/>
      <c r="L257" s="8" t="n"/>
      <c r="M257" s="6" t="n"/>
      <c r="N257" s="8" t="n"/>
      <c r="O257" s="6" t="n"/>
      <c r="P257" s="7" t="n"/>
      <c r="Q257" s="7" t="n"/>
      <c r="R257" s="9">
        <f>IF(AND($B257&lt;&gt;"",$Q257&lt;&gt;""),$Q257-$B257,"")</f>
        <v/>
      </c>
      <c r="S257" s="6" t="n"/>
      <c r="T257" s="6" t="n"/>
      <c r="U257" s="6" t="n"/>
      <c r="V257" s="8" t="n"/>
      <c r="W257" s="7" t="n"/>
      <c r="X257" s="8" t="n"/>
      <c r="Y257" s="8">
        <f>IF(AND($P257&lt;&gt;"",$Q257="",$P257&lt;TODAY(),OR($N257="Новый",$N257="В работе",$N257="На проверке (QA)",$N257="Отложен")),"ДА","")</f>
        <v/>
      </c>
      <c r="Z257" s="6" t="n"/>
    </row>
    <row r="258">
      <c r="A258" s="2">
        <f>IF($G258="","","BUG-"&amp;TEXT(ROW()-1,"000"))</f>
        <v/>
      </c>
      <c r="B258" s="3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4" t="n"/>
      <c r="L258" s="4" t="n"/>
      <c r="M258" s="2" t="n"/>
      <c r="N258" s="4" t="n"/>
      <c r="O258" s="2" t="n"/>
      <c r="P258" s="3" t="n"/>
      <c r="Q258" s="3" t="n"/>
      <c r="R258" s="5">
        <f>IF(AND($B258&lt;&gt;"",$Q258&lt;&gt;""),$Q258-$B258,"")</f>
        <v/>
      </c>
      <c r="S258" s="2" t="n"/>
      <c r="T258" s="2" t="n"/>
      <c r="U258" s="2" t="n"/>
      <c r="V258" s="4" t="n"/>
      <c r="W258" s="3" t="n"/>
      <c r="X258" s="4" t="n"/>
      <c r="Y258" s="4">
        <f>IF(AND($P258&lt;&gt;"",$Q258="",$P258&lt;TODAY(),OR($N258="Новый",$N258="В работе",$N258="На проверке (QA)",$N258="Отложен")),"ДА","")</f>
        <v/>
      </c>
      <c r="Z258" s="2" t="n"/>
    </row>
    <row r="259">
      <c r="A259" s="6">
        <f>IF($G259="","","BUG-"&amp;TEXT(ROW()-1,"000"))</f>
        <v/>
      </c>
      <c r="B259" s="7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8" t="n"/>
      <c r="L259" s="8" t="n"/>
      <c r="M259" s="6" t="n"/>
      <c r="N259" s="8" t="n"/>
      <c r="O259" s="6" t="n"/>
      <c r="P259" s="7" t="n"/>
      <c r="Q259" s="7" t="n"/>
      <c r="R259" s="9">
        <f>IF(AND($B259&lt;&gt;"",$Q259&lt;&gt;""),$Q259-$B259,"")</f>
        <v/>
      </c>
      <c r="S259" s="6" t="n"/>
      <c r="T259" s="6" t="n"/>
      <c r="U259" s="6" t="n"/>
      <c r="V259" s="8" t="n"/>
      <c r="W259" s="7" t="n"/>
      <c r="X259" s="8" t="n"/>
      <c r="Y259" s="8">
        <f>IF(AND($P259&lt;&gt;"",$Q259="",$P259&lt;TODAY(),OR($N259="Новый",$N259="В работе",$N259="На проверке (QA)",$N259="Отложен")),"ДА","")</f>
        <v/>
      </c>
      <c r="Z259" s="6" t="n"/>
    </row>
    <row r="260">
      <c r="A260" s="2">
        <f>IF($G260="","","BUG-"&amp;TEXT(ROW()-1,"000"))</f>
        <v/>
      </c>
      <c r="B260" s="3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4" t="n"/>
      <c r="L260" s="4" t="n"/>
      <c r="M260" s="2" t="n"/>
      <c r="N260" s="4" t="n"/>
      <c r="O260" s="2" t="n"/>
      <c r="P260" s="3" t="n"/>
      <c r="Q260" s="3" t="n"/>
      <c r="R260" s="5">
        <f>IF(AND($B260&lt;&gt;"",$Q260&lt;&gt;""),$Q260-$B260,"")</f>
        <v/>
      </c>
      <c r="S260" s="2" t="n"/>
      <c r="T260" s="2" t="n"/>
      <c r="U260" s="2" t="n"/>
      <c r="V260" s="4" t="n"/>
      <c r="W260" s="3" t="n"/>
      <c r="X260" s="4" t="n"/>
      <c r="Y260" s="4">
        <f>IF(AND($P260&lt;&gt;"",$Q260="",$P260&lt;TODAY(),OR($N260="Новый",$N260="В работе",$N260="На проверке (QA)",$N260="Отложен")),"ДА","")</f>
        <v/>
      </c>
      <c r="Z260" s="2" t="n"/>
    </row>
    <row r="261">
      <c r="A261" s="6">
        <f>IF($G261="","","BUG-"&amp;TEXT(ROW()-1,"000"))</f>
        <v/>
      </c>
      <c r="B261" s="7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8" t="n"/>
      <c r="L261" s="8" t="n"/>
      <c r="M261" s="6" t="n"/>
      <c r="N261" s="8" t="n"/>
      <c r="O261" s="6" t="n"/>
      <c r="P261" s="7" t="n"/>
      <c r="Q261" s="7" t="n"/>
      <c r="R261" s="9">
        <f>IF(AND($B261&lt;&gt;"",$Q261&lt;&gt;""),$Q261-$B261,"")</f>
        <v/>
      </c>
      <c r="S261" s="6" t="n"/>
      <c r="T261" s="6" t="n"/>
      <c r="U261" s="6" t="n"/>
      <c r="V261" s="8" t="n"/>
      <c r="W261" s="7" t="n"/>
      <c r="X261" s="8" t="n"/>
      <c r="Y261" s="8">
        <f>IF(AND($P261&lt;&gt;"",$Q261="",$P261&lt;TODAY(),OR($N261="Новый",$N261="В работе",$N261="На проверке (QA)",$N261="Отложен")),"ДА","")</f>
        <v/>
      </c>
      <c r="Z261" s="6" t="n"/>
    </row>
    <row r="262">
      <c r="A262" s="2">
        <f>IF($G262="","","BUG-"&amp;TEXT(ROW()-1,"000"))</f>
        <v/>
      </c>
      <c r="B262" s="3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4" t="n"/>
      <c r="L262" s="4" t="n"/>
      <c r="M262" s="2" t="n"/>
      <c r="N262" s="4" t="n"/>
      <c r="O262" s="2" t="n"/>
      <c r="P262" s="3" t="n"/>
      <c r="Q262" s="3" t="n"/>
      <c r="R262" s="5">
        <f>IF(AND($B262&lt;&gt;"",$Q262&lt;&gt;""),$Q262-$B262,"")</f>
        <v/>
      </c>
      <c r="S262" s="2" t="n"/>
      <c r="T262" s="2" t="n"/>
      <c r="U262" s="2" t="n"/>
      <c r="V262" s="4" t="n"/>
      <c r="W262" s="3" t="n"/>
      <c r="X262" s="4" t="n"/>
      <c r="Y262" s="4">
        <f>IF(AND($P262&lt;&gt;"",$Q262="",$P262&lt;TODAY(),OR($N262="Новый",$N262="В работе",$N262="На проверке (QA)",$N262="Отложен")),"ДА","")</f>
        <v/>
      </c>
      <c r="Z262" s="2" t="n"/>
    </row>
    <row r="263">
      <c r="A263" s="6">
        <f>IF($G263="","","BUG-"&amp;TEXT(ROW()-1,"000"))</f>
        <v/>
      </c>
      <c r="B263" s="7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8" t="n"/>
      <c r="L263" s="8" t="n"/>
      <c r="M263" s="6" t="n"/>
      <c r="N263" s="8" t="n"/>
      <c r="O263" s="6" t="n"/>
      <c r="P263" s="7" t="n"/>
      <c r="Q263" s="7" t="n"/>
      <c r="R263" s="9">
        <f>IF(AND($B263&lt;&gt;"",$Q263&lt;&gt;""),$Q263-$B263,"")</f>
        <v/>
      </c>
      <c r="S263" s="6" t="n"/>
      <c r="T263" s="6" t="n"/>
      <c r="U263" s="6" t="n"/>
      <c r="V263" s="8" t="n"/>
      <c r="W263" s="7" t="n"/>
      <c r="X263" s="8" t="n"/>
      <c r="Y263" s="8">
        <f>IF(AND($P263&lt;&gt;"",$Q263="",$P263&lt;TODAY(),OR($N263="Новый",$N263="В работе",$N263="На проверке (QA)",$N263="Отложен")),"ДА","")</f>
        <v/>
      </c>
      <c r="Z263" s="6" t="n"/>
    </row>
    <row r="264">
      <c r="A264" s="2">
        <f>IF($G264="","","BUG-"&amp;TEXT(ROW()-1,"000"))</f>
        <v/>
      </c>
      <c r="B264" s="3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4" t="n"/>
      <c r="L264" s="4" t="n"/>
      <c r="M264" s="2" t="n"/>
      <c r="N264" s="4" t="n"/>
      <c r="O264" s="2" t="n"/>
      <c r="P264" s="3" t="n"/>
      <c r="Q264" s="3" t="n"/>
      <c r="R264" s="5">
        <f>IF(AND($B264&lt;&gt;"",$Q264&lt;&gt;""),$Q264-$B264,"")</f>
        <v/>
      </c>
      <c r="S264" s="2" t="n"/>
      <c r="T264" s="2" t="n"/>
      <c r="U264" s="2" t="n"/>
      <c r="V264" s="4" t="n"/>
      <c r="W264" s="3" t="n"/>
      <c r="X264" s="4" t="n"/>
      <c r="Y264" s="4">
        <f>IF(AND($P264&lt;&gt;"",$Q264="",$P264&lt;TODAY(),OR($N264="Новый",$N264="В работе",$N264="На проверке (QA)",$N264="Отложен")),"ДА","")</f>
        <v/>
      </c>
      <c r="Z264" s="2" t="n"/>
    </row>
    <row r="265">
      <c r="A265" s="6">
        <f>IF($G265="","","BUG-"&amp;TEXT(ROW()-1,"000"))</f>
        <v/>
      </c>
      <c r="B265" s="7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8" t="n"/>
      <c r="L265" s="8" t="n"/>
      <c r="M265" s="6" t="n"/>
      <c r="N265" s="8" t="n"/>
      <c r="O265" s="6" t="n"/>
      <c r="P265" s="7" t="n"/>
      <c r="Q265" s="7" t="n"/>
      <c r="R265" s="9">
        <f>IF(AND($B265&lt;&gt;"",$Q265&lt;&gt;""),$Q265-$B265,"")</f>
        <v/>
      </c>
      <c r="S265" s="6" t="n"/>
      <c r="T265" s="6" t="n"/>
      <c r="U265" s="6" t="n"/>
      <c r="V265" s="8" t="n"/>
      <c r="W265" s="7" t="n"/>
      <c r="X265" s="8" t="n"/>
      <c r="Y265" s="8">
        <f>IF(AND($P265&lt;&gt;"",$Q265="",$P265&lt;TODAY(),OR($N265="Новый",$N265="В работе",$N265="На проверке (QA)",$N265="Отложен")),"ДА","")</f>
        <v/>
      </c>
      <c r="Z265" s="6" t="n"/>
    </row>
    <row r="266">
      <c r="A266" s="2">
        <f>IF($G266="","","BUG-"&amp;TEXT(ROW()-1,"000"))</f>
        <v/>
      </c>
      <c r="B266" s="3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4" t="n"/>
      <c r="L266" s="4" t="n"/>
      <c r="M266" s="2" t="n"/>
      <c r="N266" s="4" t="n"/>
      <c r="O266" s="2" t="n"/>
      <c r="P266" s="3" t="n"/>
      <c r="Q266" s="3" t="n"/>
      <c r="R266" s="5">
        <f>IF(AND($B266&lt;&gt;"",$Q266&lt;&gt;""),$Q266-$B266,"")</f>
        <v/>
      </c>
      <c r="S266" s="2" t="n"/>
      <c r="T266" s="2" t="n"/>
      <c r="U266" s="2" t="n"/>
      <c r="V266" s="4" t="n"/>
      <c r="W266" s="3" t="n"/>
      <c r="X266" s="4" t="n"/>
      <c r="Y266" s="4">
        <f>IF(AND($P266&lt;&gt;"",$Q266="",$P266&lt;TODAY(),OR($N266="Новый",$N266="В работе",$N266="На проверке (QA)",$N266="Отложен")),"ДА","")</f>
        <v/>
      </c>
      <c r="Z266" s="2" t="n"/>
    </row>
    <row r="267">
      <c r="A267" s="6">
        <f>IF($G267="","","BUG-"&amp;TEXT(ROW()-1,"000"))</f>
        <v/>
      </c>
      <c r="B267" s="7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8" t="n"/>
      <c r="L267" s="8" t="n"/>
      <c r="M267" s="6" t="n"/>
      <c r="N267" s="8" t="n"/>
      <c r="O267" s="6" t="n"/>
      <c r="P267" s="7" t="n"/>
      <c r="Q267" s="7" t="n"/>
      <c r="R267" s="9">
        <f>IF(AND($B267&lt;&gt;"",$Q267&lt;&gt;""),$Q267-$B267,"")</f>
        <v/>
      </c>
      <c r="S267" s="6" t="n"/>
      <c r="T267" s="6" t="n"/>
      <c r="U267" s="6" t="n"/>
      <c r="V267" s="8" t="n"/>
      <c r="W267" s="7" t="n"/>
      <c r="X267" s="8" t="n"/>
      <c r="Y267" s="8">
        <f>IF(AND($P267&lt;&gt;"",$Q267="",$P267&lt;TODAY(),OR($N267="Новый",$N267="В работе",$N267="На проверке (QA)",$N267="Отложен")),"ДА","")</f>
        <v/>
      </c>
      <c r="Z267" s="6" t="n"/>
    </row>
    <row r="268">
      <c r="A268" s="2">
        <f>IF($G268="","","BUG-"&amp;TEXT(ROW()-1,"000"))</f>
        <v/>
      </c>
      <c r="B268" s="3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4" t="n"/>
      <c r="L268" s="4" t="n"/>
      <c r="M268" s="2" t="n"/>
      <c r="N268" s="4" t="n"/>
      <c r="O268" s="2" t="n"/>
      <c r="P268" s="3" t="n"/>
      <c r="Q268" s="3" t="n"/>
      <c r="R268" s="5">
        <f>IF(AND($B268&lt;&gt;"",$Q268&lt;&gt;""),$Q268-$B268,"")</f>
        <v/>
      </c>
      <c r="S268" s="2" t="n"/>
      <c r="T268" s="2" t="n"/>
      <c r="U268" s="2" t="n"/>
      <c r="V268" s="4" t="n"/>
      <c r="W268" s="3" t="n"/>
      <c r="X268" s="4" t="n"/>
      <c r="Y268" s="4">
        <f>IF(AND($P268&lt;&gt;"",$Q268="",$P268&lt;TODAY(),OR($N268="Новый",$N268="В работе",$N268="На проверке (QA)",$N268="Отложен")),"ДА","")</f>
        <v/>
      </c>
      <c r="Z268" s="2" t="n"/>
    </row>
    <row r="269">
      <c r="A269" s="6">
        <f>IF($G269="","","BUG-"&amp;TEXT(ROW()-1,"000"))</f>
        <v/>
      </c>
      <c r="B269" s="7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8" t="n"/>
      <c r="L269" s="8" t="n"/>
      <c r="M269" s="6" t="n"/>
      <c r="N269" s="8" t="n"/>
      <c r="O269" s="6" t="n"/>
      <c r="P269" s="7" t="n"/>
      <c r="Q269" s="7" t="n"/>
      <c r="R269" s="9">
        <f>IF(AND($B269&lt;&gt;"",$Q269&lt;&gt;""),$Q269-$B269,"")</f>
        <v/>
      </c>
      <c r="S269" s="6" t="n"/>
      <c r="T269" s="6" t="n"/>
      <c r="U269" s="6" t="n"/>
      <c r="V269" s="8" t="n"/>
      <c r="W269" s="7" t="n"/>
      <c r="X269" s="8" t="n"/>
      <c r="Y269" s="8">
        <f>IF(AND($P269&lt;&gt;"",$Q269="",$P269&lt;TODAY(),OR($N269="Новый",$N269="В работе",$N269="На проверке (QA)",$N269="Отложен")),"ДА","")</f>
        <v/>
      </c>
      <c r="Z269" s="6" t="n"/>
    </row>
    <row r="270">
      <c r="A270" s="2">
        <f>IF($G270="","","BUG-"&amp;TEXT(ROW()-1,"000"))</f>
        <v/>
      </c>
      <c r="B270" s="3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4" t="n"/>
      <c r="L270" s="4" t="n"/>
      <c r="M270" s="2" t="n"/>
      <c r="N270" s="4" t="n"/>
      <c r="O270" s="2" t="n"/>
      <c r="P270" s="3" t="n"/>
      <c r="Q270" s="3" t="n"/>
      <c r="R270" s="5">
        <f>IF(AND($B270&lt;&gt;"",$Q270&lt;&gt;""),$Q270-$B270,"")</f>
        <v/>
      </c>
      <c r="S270" s="2" t="n"/>
      <c r="T270" s="2" t="n"/>
      <c r="U270" s="2" t="n"/>
      <c r="V270" s="4" t="n"/>
      <c r="W270" s="3" t="n"/>
      <c r="X270" s="4" t="n"/>
      <c r="Y270" s="4">
        <f>IF(AND($P270&lt;&gt;"",$Q270="",$P270&lt;TODAY(),OR($N270="Новый",$N270="В работе",$N270="На проверке (QA)",$N270="Отложен")),"ДА","")</f>
        <v/>
      </c>
      <c r="Z270" s="2" t="n"/>
    </row>
    <row r="271">
      <c r="A271" s="6">
        <f>IF($G271="","","BUG-"&amp;TEXT(ROW()-1,"000"))</f>
        <v/>
      </c>
      <c r="B271" s="7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8" t="n"/>
      <c r="L271" s="8" t="n"/>
      <c r="M271" s="6" t="n"/>
      <c r="N271" s="8" t="n"/>
      <c r="O271" s="6" t="n"/>
      <c r="P271" s="7" t="n"/>
      <c r="Q271" s="7" t="n"/>
      <c r="R271" s="9">
        <f>IF(AND($B271&lt;&gt;"",$Q271&lt;&gt;""),$Q271-$B271,"")</f>
        <v/>
      </c>
      <c r="S271" s="6" t="n"/>
      <c r="T271" s="6" t="n"/>
      <c r="U271" s="6" t="n"/>
      <c r="V271" s="8" t="n"/>
      <c r="W271" s="7" t="n"/>
      <c r="X271" s="8" t="n"/>
      <c r="Y271" s="8">
        <f>IF(AND($P271&lt;&gt;"",$Q271="",$P271&lt;TODAY(),OR($N271="Новый",$N271="В работе",$N271="На проверке (QA)",$N271="Отложен")),"ДА","")</f>
        <v/>
      </c>
      <c r="Z271" s="6" t="n"/>
    </row>
    <row r="272">
      <c r="A272" s="2">
        <f>IF($G272="","","BUG-"&amp;TEXT(ROW()-1,"000"))</f>
        <v/>
      </c>
      <c r="B272" s="3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4" t="n"/>
      <c r="L272" s="4" t="n"/>
      <c r="M272" s="2" t="n"/>
      <c r="N272" s="4" t="n"/>
      <c r="O272" s="2" t="n"/>
      <c r="P272" s="3" t="n"/>
      <c r="Q272" s="3" t="n"/>
      <c r="R272" s="5">
        <f>IF(AND($B272&lt;&gt;"",$Q272&lt;&gt;""),$Q272-$B272,"")</f>
        <v/>
      </c>
      <c r="S272" s="2" t="n"/>
      <c r="T272" s="2" t="n"/>
      <c r="U272" s="2" t="n"/>
      <c r="V272" s="4" t="n"/>
      <c r="W272" s="3" t="n"/>
      <c r="X272" s="4" t="n"/>
      <c r="Y272" s="4">
        <f>IF(AND($P272&lt;&gt;"",$Q272="",$P272&lt;TODAY(),OR($N272="Новый",$N272="В работе",$N272="На проверке (QA)",$N272="Отложен")),"ДА","")</f>
        <v/>
      </c>
      <c r="Z272" s="2" t="n"/>
    </row>
    <row r="273">
      <c r="A273" s="6">
        <f>IF($G273="","","BUG-"&amp;TEXT(ROW()-1,"000"))</f>
        <v/>
      </c>
      <c r="B273" s="7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8" t="n"/>
      <c r="L273" s="8" t="n"/>
      <c r="M273" s="6" t="n"/>
      <c r="N273" s="8" t="n"/>
      <c r="O273" s="6" t="n"/>
      <c r="P273" s="7" t="n"/>
      <c r="Q273" s="7" t="n"/>
      <c r="R273" s="9">
        <f>IF(AND($B273&lt;&gt;"",$Q273&lt;&gt;""),$Q273-$B273,"")</f>
        <v/>
      </c>
      <c r="S273" s="6" t="n"/>
      <c r="T273" s="6" t="n"/>
      <c r="U273" s="6" t="n"/>
      <c r="V273" s="8" t="n"/>
      <c r="W273" s="7" t="n"/>
      <c r="X273" s="8" t="n"/>
      <c r="Y273" s="8">
        <f>IF(AND($P273&lt;&gt;"",$Q273="",$P273&lt;TODAY(),OR($N273="Новый",$N273="В работе",$N273="На проверке (QA)",$N273="Отложен")),"ДА","")</f>
        <v/>
      </c>
      <c r="Z273" s="6" t="n"/>
    </row>
    <row r="274">
      <c r="A274" s="2">
        <f>IF($G274="","","BUG-"&amp;TEXT(ROW()-1,"000"))</f>
        <v/>
      </c>
      <c r="B274" s="3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4" t="n"/>
      <c r="L274" s="4" t="n"/>
      <c r="M274" s="2" t="n"/>
      <c r="N274" s="4" t="n"/>
      <c r="O274" s="2" t="n"/>
      <c r="P274" s="3" t="n"/>
      <c r="Q274" s="3" t="n"/>
      <c r="R274" s="5">
        <f>IF(AND($B274&lt;&gt;"",$Q274&lt;&gt;""),$Q274-$B274,"")</f>
        <v/>
      </c>
      <c r="S274" s="2" t="n"/>
      <c r="T274" s="2" t="n"/>
      <c r="U274" s="2" t="n"/>
      <c r="V274" s="4" t="n"/>
      <c r="W274" s="3" t="n"/>
      <c r="X274" s="4" t="n"/>
      <c r="Y274" s="4">
        <f>IF(AND($P274&lt;&gt;"",$Q274="",$P274&lt;TODAY(),OR($N274="Новый",$N274="В работе",$N274="На проверке (QA)",$N274="Отложен")),"ДА","")</f>
        <v/>
      </c>
      <c r="Z274" s="2" t="n"/>
    </row>
    <row r="275">
      <c r="A275" s="6">
        <f>IF($G275="","","BUG-"&amp;TEXT(ROW()-1,"000"))</f>
        <v/>
      </c>
      <c r="B275" s="7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8" t="n"/>
      <c r="L275" s="8" t="n"/>
      <c r="M275" s="6" t="n"/>
      <c r="N275" s="8" t="n"/>
      <c r="O275" s="6" t="n"/>
      <c r="P275" s="7" t="n"/>
      <c r="Q275" s="7" t="n"/>
      <c r="R275" s="9">
        <f>IF(AND($B275&lt;&gt;"",$Q275&lt;&gt;""),$Q275-$B275,"")</f>
        <v/>
      </c>
      <c r="S275" s="6" t="n"/>
      <c r="T275" s="6" t="n"/>
      <c r="U275" s="6" t="n"/>
      <c r="V275" s="8" t="n"/>
      <c r="W275" s="7" t="n"/>
      <c r="X275" s="8" t="n"/>
      <c r="Y275" s="8">
        <f>IF(AND($P275&lt;&gt;"",$Q275="",$P275&lt;TODAY(),OR($N275="Новый",$N275="В работе",$N275="На проверке (QA)",$N275="Отложен")),"ДА","")</f>
        <v/>
      </c>
      <c r="Z275" s="6" t="n"/>
    </row>
    <row r="276">
      <c r="A276" s="2">
        <f>IF($G276="","","BUG-"&amp;TEXT(ROW()-1,"000"))</f>
        <v/>
      </c>
      <c r="B276" s="3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4" t="n"/>
      <c r="L276" s="4" t="n"/>
      <c r="M276" s="2" t="n"/>
      <c r="N276" s="4" t="n"/>
      <c r="O276" s="2" t="n"/>
      <c r="P276" s="3" t="n"/>
      <c r="Q276" s="3" t="n"/>
      <c r="R276" s="5">
        <f>IF(AND($B276&lt;&gt;"",$Q276&lt;&gt;""),$Q276-$B276,"")</f>
        <v/>
      </c>
      <c r="S276" s="2" t="n"/>
      <c r="T276" s="2" t="n"/>
      <c r="U276" s="2" t="n"/>
      <c r="V276" s="4" t="n"/>
      <c r="W276" s="3" t="n"/>
      <c r="X276" s="4" t="n"/>
      <c r="Y276" s="4">
        <f>IF(AND($P276&lt;&gt;"",$Q276="",$P276&lt;TODAY(),OR($N276="Новый",$N276="В работе",$N276="На проверке (QA)",$N276="Отложен")),"ДА","")</f>
        <v/>
      </c>
      <c r="Z276" s="2" t="n"/>
    </row>
    <row r="277">
      <c r="A277" s="6">
        <f>IF($G277="","","BUG-"&amp;TEXT(ROW()-1,"000"))</f>
        <v/>
      </c>
      <c r="B277" s="7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8" t="n"/>
      <c r="L277" s="8" t="n"/>
      <c r="M277" s="6" t="n"/>
      <c r="N277" s="8" t="n"/>
      <c r="O277" s="6" t="n"/>
      <c r="P277" s="7" t="n"/>
      <c r="Q277" s="7" t="n"/>
      <c r="R277" s="9">
        <f>IF(AND($B277&lt;&gt;"",$Q277&lt;&gt;""),$Q277-$B277,"")</f>
        <v/>
      </c>
      <c r="S277" s="6" t="n"/>
      <c r="T277" s="6" t="n"/>
      <c r="U277" s="6" t="n"/>
      <c r="V277" s="8" t="n"/>
      <c r="W277" s="7" t="n"/>
      <c r="X277" s="8" t="n"/>
      <c r="Y277" s="8">
        <f>IF(AND($P277&lt;&gt;"",$Q277="",$P277&lt;TODAY(),OR($N277="Новый",$N277="В работе",$N277="На проверке (QA)",$N277="Отложен")),"ДА","")</f>
        <v/>
      </c>
      <c r="Z277" s="6" t="n"/>
    </row>
    <row r="278">
      <c r="A278" s="2">
        <f>IF($G278="","","BUG-"&amp;TEXT(ROW()-1,"000"))</f>
        <v/>
      </c>
      <c r="B278" s="3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4" t="n"/>
      <c r="L278" s="4" t="n"/>
      <c r="M278" s="2" t="n"/>
      <c r="N278" s="4" t="n"/>
      <c r="O278" s="2" t="n"/>
      <c r="P278" s="3" t="n"/>
      <c r="Q278" s="3" t="n"/>
      <c r="R278" s="5">
        <f>IF(AND($B278&lt;&gt;"",$Q278&lt;&gt;""),$Q278-$B278,"")</f>
        <v/>
      </c>
      <c r="S278" s="2" t="n"/>
      <c r="T278" s="2" t="n"/>
      <c r="U278" s="2" t="n"/>
      <c r="V278" s="4" t="n"/>
      <c r="W278" s="3" t="n"/>
      <c r="X278" s="4" t="n"/>
      <c r="Y278" s="4">
        <f>IF(AND($P278&lt;&gt;"",$Q278="",$P278&lt;TODAY(),OR($N278="Новый",$N278="В работе",$N278="На проверке (QA)",$N278="Отложен")),"ДА","")</f>
        <v/>
      </c>
      <c r="Z278" s="2" t="n"/>
    </row>
    <row r="279">
      <c r="A279" s="6">
        <f>IF($G279="","","BUG-"&amp;TEXT(ROW()-1,"000"))</f>
        <v/>
      </c>
      <c r="B279" s="7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8" t="n"/>
      <c r="L279" s="8" t="n"/>
      <c r="M279" s="6" t="n"/>
      <c r="N279" s="8" t="n"/>
      <c r="O279" s="6" t="n"/>
      <c r="P279" s="7" t="n"/>
      <c r="Q279" s="7" t="n"/>
      <c r="R279" s="9">
        <f>IF(AND($B279&lt;&gt;"",$Q279&lt;&gt;""),$Q279-$B279,"")</f>
        <v/>
      </c>
      <c r="S279" s="6" t="n"/>
      <c r="T279" s="6" t="n"/>
      <c r="U279" s="6" t="n"/>
      <c r="V279" s="8" t="n"/>
      <c r="W279" s="7" t="n"/>
      <c r="X279" s="8" t="n"/>
      <c r="Y279" s="8">
        <f>IF(AND($P279&lt;&gt;"",$Q279="",$P279&lt;TODAY(),OR($N279="Новый",$N279="В работе",$N279="На проверке (QA)",$N279="Отложен")),"ДА","")</f>
        <v/>
      </c>
      <c r="Z279" s="6" t="n"/>
    </row>
    <row r="280">
      <c r="A280" s="2">
        <f>IF($G280="","","BUG-"&amp;TEXT(ROW()-1,"000"))</f>
        <v/>
      </c>
      <c r="B280" s="3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4" t="n"/>
      <c r="L280" s="4" t="n"/>
      <c r="M280" s="2" t="n"/>
      <c r="N280" s="4" t="n"/>
      <c r="O280" s="2" t="n"/>
      <c r="P280" s="3" t="n"/>
      <c r="Q280" s="3" t="n"/>
      <c r="R280" s="5">
        <f>IF(AND($B280&lt;&gt;"",$Q280&lt;&gt;""),$Q280-$B280,"")</f>
        <v/>
      </c>
      <c r="S280" s="2" t="n"/>
      <c r="T280" s="2" t="n"/>
      <c r="U280" s="2" t="n"/>
      <c r="V280" s="4" t="n"/>
      <c r="W280" s="3" t="n"/>
      <c r="X280" s="4" t="n"/>
      <c r="Y280" s="4">
        <f>IF(AND($P280&lt;&gt;"",$Q280="",$P280&lt;TODAY(),OR($N280="Новый",$N280="В работе",$N280="На проверке (QA)",$N280="Отложен")),"ДА","")</f>
        <v/>
      </c>
      <c r="Z280" s="2" t="n"/>
    </row>
    <row r="281">
      <c r="A281" s="6">
        <f>IF($G281="","","BUG-"&amp;TEXT(ROW()-1,"000"))</f>
        <v/>
      </c>
      <c r="B281" s="7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8" t="n"/>
      <c r="L281" s="8" t="n"/>
      <c r="M281" s="6" t="n"/>
      <c r="N281" s="8" t="n"/>
      <c r="O281" s="6" t="n"/>
      <c r="P281" s="7" t="n"/>
      <c r="Q281" s="7" t="n"/>
      <c r="R281" s="9">
        <f>IF(AND($B281&lt;&gt;"",$Q281&lt;&gt;""),$Q281-$B281,"")</f>
        <v/>
      </c>
      <c r="S281" s="6" t="n"/>
      <c r="T281" s="6" t="n"/>
      <c r="U281" s="6" t="n"/>
      <c r="V281" s="8" t="n"/>
      <c r="W281" s="7" t="n"/>
      <c r="X281" s="8" t="n"/>
      <c r="Y281" s="8">
        <f>IF(AND($P281&lt;&gt;"",$Q281="",$P281&lt;TODAY(),OR($N281="Новый",$N281="В работе",$N281="На проверке (QA)",$N281="Отложен")),"ДА","")</f>
        <v/>
      </c>
      <c r="Z281" s="6" t="n"/>
    </row>
    <row r="282">
      <c r="A282" s="2">
        <f>IF($G282="","","BUG-"&amp;TEXT(ROW()-1,"000"))</f>
        <v/>
      </c>
      <c r="B282" s="3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4" t="n"/>
      <c r="L282" s="4" t="n"/>
      <c r="M282" s="2" t="n"/>
      <c r="N282" s="4" t="n"/>
      <c r="O282" s="2" t="n"/>
      <c r="P282" s="3" t="n"/>
      <c r="Q282" s="3" t="n"/>
      <c r="R282" s="5">
        <f>IF(AND($B282&lt;&gt;"",$Q282&lt;&gt;""),$Q282-$B282,"")</f>
        <v/>
      </c>
      <c r="S282" s="2" t="n"/>
      <c r="T282" s="2" t="n"/>
      <c r="U282" s="2" t="n"/>
      <c r="V282" s="4" t="n"/>
      <c r="W282" s="3" t="n"/>
      <c r="X282" s="4" t="n"/>
      <c r="Y282" s="4">
        <f>IF(AND($P282&lt;&gt;"",$Q282="",$P282&lt;TODAY(),OR($N282="Новый",$N282="В работе",$N282="На проверке (QA)",$N282="Отложен")),"ДА","")</f>
        <v/>
      </c>
      <c r="Z282" s="2" t="n"/>
    </row>
    <row r="283">
      <c r="A283" s="6">
        <f>IF($G283="","","BUG-"&amp;TEXT(ROW()-1,"000"))</f>
        <v/>
      </c>
      <c r="B283" s="7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8" t="n"/>
      <c r="L283" s="8" t="n"/>
      <c r="M283" s="6" t="n"/>
      <c r="N283" s="8" t="n"/>
      <c r="O283" s="6" t="n"/>
      <c r="P283" s="7" t="n"/>
      <c r="Q283" s="7" t="n"/>
      <c r="R283" s="9">
        <f>IF(AND($B283&lt;&gt;"",$Q283&lt;&gt;""),$Q283-$B283,"")</f>
        <v/>
      </c>
      <c r="S283" s="6" t="n"/>
      <c r="T283" s="6" t="n"/>
      <c r="U283" s="6" t="n"/>
      <c r="V283" s="8" t="n"/>
      <c r="W283" s="7" t="n"/>
      <c r="X283" s="8" t="n"/>
      <c r="Y283" s="8">
        <f>IF(AND($P283&lt;&gt;"",$Q283="",$P283&lt;TODAY(),OR($N283="Новый",$N283="В работе",$N283="На проверке (QA)",$N283="Отложен")),"ДА","")</f>
        <v/>
      </c>
      <c r="Z283" s="6" t="n"/>
    </row>
    <row r="284">
      <c r="A284" s="2">
        <f>IF($G284="","","BUG-"&amp;TEXT(ROW()-1,"000"))</f>
        <v/>
      </c>
      <c r="B284" s="3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4" t="n"/>
      <c r="L284" s="4" t="n"/>
      <c r="M284" s="2" t="n"/>
      <c r="N284" s="4" t="n"/>
      <c r="O284" s="2" t="n"/>
      <c r="P284" s="3" t="n"/>
      <c r="Q284" s="3" t="n"/>
      <c r="R284" s="5">
        <f>IF(AND($B284&lt;&gt;"",$Q284&lt;&gt;""),$Q284-$B284,"")</f>
        <v/>
      </c>
      <c r="S284" s="2" t="n"/>
      <c r="T284" s="2" t="n"/>
      <c r="U284" s="2" t="n"/>
      <c r="V284" s="4" t="n"/>
      <c r="W284" s="3" t="n"/>
      <c r="X284" s="4" t="n"/>
      <c r="Y284" s="4">
        <f>IF(AND($P284&lt;&gt;"",$Q284="",$P284&lt;TODAY(),OR($N284="Новый",$N284="В работе",$N284="На проверке (QA)",$N284="Отложен")),"ДА","")</f>
        <v/>
      </c>
      <c r="Z284" s="2" t="n"/>
    </row>
    <row r="285">
      <c r="A285" s="6">
        <f>IF($G285="","","BUG-"&amp;TEXT(ROW()-1,"000"))</f>
        <v/>
      </c>
      <c r="B285" s="7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8" t="n"/>
      <c r="L285" s="8" t="n"/>
      <c r="M285" s="6" t="n"/>
      <c r="N285" s="8" t="n"/>
      <c r="O285" s="6" t="n"/>
      <c r="P285" s="7" t="n"/>
      <c r="Q285" s="7" t="n"/>
      <c r="R285" s="9">
        <f>IF(AND($B285&lt;&gt;"",$Q285&lt;&gt;""),$Q285-$B285,"")</f>
        <v/>
      </c>
      <c r="S285" s="6" t="n"/>
      <c r="T285" s="6" t="n"/>
      <c r="U285" s="6" t="n"/>
      <c r="V285" s="8" t="n"/>
      <c r="W285" s="7" t="n"/>
      <c r="X285" s="8" t="n"/>
      <c r="Y285" s="8">
        <f>IF(AND($P285&lt;&gt;"",$Q285="",$P285&lt;TODAY(),OR($N285="Новый",$N285="В работе",$N285="На проверке (QA)",$N285="Отложен")),"ДА","")</f>
        <v/>
      </c>
      <c r="Z285" s="6" t="n"/>
    </row>
    <row r="286">
      <c r="A286" s="2">
        <f>IF($G286="","","BUG-"&amp;TEXT(ROW()-1,"000"))</f>
        <v/>
      </c>
      <c r="B286" s="3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4" t="n"/>
      <c r="L286" s="4" t="n"/>
      <c r="M286" s="2" t="n"/>
      <c r="N286" s="4" t="n"/>
      <c r="O286" s="2" t="n"/>
      <c r="P286" s="3" t="n"/>
      <c r="Q286" s="3" t="n"/>
      <c r="R286" s="5">
        <f>IF(AND($B286&lt;&gt;"",$Q286&lt;&gt;""),$Q286-$B286,"")</f>
        <v/>
      </c>
      <c r="S286" s="2" t="n"/>
      <c r="T286" s="2" t="n"/>
      <c r="U286" s="2" t="n"/>
      <c r="V286" s="4" t="n"/>
      <c r="W286" s="3" t="n"/>
      <c r="X286" s="4" t="n"/>
      <c r="Y286" s="4">
        <f>IF(AND($P286&lt;&gt;"",$Q286="",$P286&lt;TODAY(),OR($N286="Новый",$N286="В работе",$N286="На проверке (QA)",$N286="Отложен")),"ДА","")</f>
        <v/>
      </c>
      <c r="Z286" s="2" t="n"/>
    </row>
    <row r="287">
      <c r="A287" s="6">
        <f>IF($G287="","","BUG-"&amp;TEXT(ROW()-1,"000"))</f>
        <v/>
      </c>
      <c r="B287" s="7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8" t="n"/>
      <c r="L287" s="8" t="n"/>
      <c r="M287" s="6" t="n"/>
      <c r="N287" s="8" t="n"/>
      <c r="O287" s="6" t="n"/>
      <c r="P287" s="7" t="n"/>
      <c r="Q287" s="7" t="n"/>
      <c r="R287" s="9">
        <f>IF(AND($B287&lt;&gt;"",$Q287&lt;&gt;""),$Q287-$B287,"")</f>
        <v/>
      </c>
      <c r="S287" s="6" t="n"/>
      <c r="T287" s="6" t="n"/>
      <c r="U287" s="6" t="n"/>
      <c r="V287" s="8" t="n"/>
      <c r="W287" s="7" t="n"/>
      <c r="X287" s="8" t="n"/>
      <c r="Y287" s="8">
        <f>IF(AND($P287&lt;&gt;"",$Q287="",$P287&lt;TODAY(),OR($N287="Новый",$N287="В работе",$N287="На проверке (QA)",$N287="Отложен")),"ДА","")</f>
        <v/>
      </c>
      <c r="Z287" s="6" t="n"/>
    </row>
    <row r="288">
      <c r="A288" s="2">
        <f>IF($G288="","","BUG-"&amp;TEXT(ROW()-1,"000"))</f>
        <v/>
      </c>
      <c r="B288" s="3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4" t="n"/>
      <c r="L288" s="4" t="n"/>
      <c r="M288" s="2" t="n"/>
      <c r="N288" s="4" t="n"/>
      <c r="O288" s="2" t="n"/>
      <c r="P288" s="3" t="n"/>
      <c r="Q288" s="3" t="n"/>
      <c r="R288" s="5">
        <f>IF(AND($B288&lt;&gt;"",$Q288&lt;&gt;""),$Q288-$B288,"")</f>
        <v/>
      </c>
      <c r="S288" s="2" t="n"/>
      <c r="T288" s="2" t="n"/>
      <c r="U288" s="2" t="n"/>
      <c r="V288" s="4" t="n"/>
      <c r="W288" s="3" t="n"/>
      <c r="X288" s="4" t="n"/>
      <c r="Y288" s="4">
        <f>IF(AND($P288&lt;&gt;"",$Q288="",$P288&lt;TODAY(),OR($N288="Новый",$N288="В работе",$N288="На проверке (QA)",$N288="Отложен")),"ДА","")</f>
        <v/>
      </c>
      <c r="Z288" s="2" t="n"/>
    </row>
    <row r="289">
      <c r="A289" s="6">
        <f>IF($G289="","","BUG-"&amp;TEXT(ROW()-1,"000"))</f>
        <v/>
      </c>
      <c r="B289" s="7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8" t="n"/>
      <c r="L289" s="8" t="n"/>
      <c r="M289" s="6" t="n"/>
      <c r="N289" s="8" t="n"/>
      <c r="O289" s="6" t="n"/>
      <c r="P289" s="7" t="n"/>
      <c r="Q289" s="7" t="n"/>
      <c r="R289" s="9">
        <f>IF(AND($B289&lt;&gt;"",$Q289&lt;&gt;""),$Q289-$B289,"")</f>
        <v/>
      </c>
      <c r="S289" s="6" t="n"/>
      <c r="T289" s="6" t="n"/>
      <c r="U289" s="6" t="n"/>
      <c r="V289" s="8" t="n"/>
      <c r="W289" s="7" t="n"/>
      <c r="X289" s="8" t="n"/>
      <c r="Y289" s="8">
        <f>IF(AND($P289&lt;&gt;"",$Q289="",$P289&lt;TODAY(),OR($N289="Новый",$N289="В работе",$N289="На проверке (QA)",$N289="Отложен")),"ДА","")</f>
        <v/>
      </c>
      <c r="Z289" s="6" t="n"/>
    </row>
    <row r="290">
      <c r="A290" s="2">
        <f>IF($G290="","","BUG-"&amp;TEXT(ROW()-1,"000"))</f>
        <v/>
      </c>
      <c r="B290" s="3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4" t="n"/>
      <c r="L290" s="4" t="n"/>
      <c r="M290" s="2" t="n"/>
      <c r="N290" s="4" t="n"/>
      <c r="O290" s="2" t="n"/>
      <c r="P290" s="3" t="n"/>
      <c r="Q290" s="3" t="n"/>
      <c r="R290" s="5">
        <f>IF(AND($B290&lt;&gt;"",$Q290&lt;&gt;""),$Q290-$B290,"")</f>
        <v/>
      </c>
      <c r="S290" s="2" t="n"/>
      <c r="T290" s="2" t="n"/>
      <c r="U290" s="2" t="n"/>
      <c r="V290" s="4" t="n"/>
      <c r="W290" s="3" t="n"/>
      <c r="X290" s="4" t="n"/>
      <c r="Y290" s="4">
        <f>IF(AND($P290&lt;&gt;"",$Q290="",$P290&lt;TODAY(),OR($N290="Новый",$N290="В работе",$N290="На проверке (QA)",$N290="Отложен")),"ДА","")</f>
        <v/>
      </c>
      <c r="Z290" s="2" t="n"/>
    </row>
    <row r="291">
      <c r="A291" s="6">
        <f>IF($G291="","","BUG-"&amp;TEXT(ROW()-1,"000"))</f>
        <v/>
      </c>
      <c r="B291" s="7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8" t="n"/>
      <c r="L291" s="8" t="n"/>
      <c r="M291" s="6" t="n"/>
      <c r="N291" s="8" t="n"/>
      <c r="O291" s="6" t="n"/>
      <c r="P291" s="7" t="n"/>
      <c r="Q291" s="7" t="n"/>
      <c r="R291" s="9">
        <f>IF(AND($B291&lt;&gt;"",$Q291&lt;&gt;""),$Q291-$B291,"")</f>
        <v/>
      </c>
      <c r="S291" s="6" t="n"/>
      <c r="T291" s="6" t="n"/>
      <c r="U291" s="6" t="n"/>
      <c r="V291" s="8" t="n"/>
      <c r="W291" s="7" t="n"/>
      <c r="X291" s="8" t="n"/>
      <c r="Y291" s="8">
        <f>IF(AND($P291&lt;&gt;"",$Q291="",$P291&lt;TODAY(),OR($N291="Новый",$N291="В работе",$N291="На проверке (QA)",$N291="Отложен")),"ДА","")</f>
        <v/>
      </c>
      <c r="Z291" s="6" t="n"/>
    </row>
    <row r="292">
      <c r="A292" s="2">
        <f>IF($G292="","","BUG-"&amp;TEXT(ROW()-1,"000"))</f>
        <v/>
      </c>
      <c r="B292" s="3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4" t="n"/>
      <c r="L292" s="4" t="n"/>
      <c r="M292" s="2" t="n"/>
      <c r="N292" s="4" t="n"/>
      <c r="O292" s="2" t="n"/>
      <c r="P292" s="3" t="n"/>
      <c r="Q292" s="3" t="n"/>
      <c r="R292" s="5">
        <f>IF(AND($B292&lt;&gt;"",$Q292&lt;&gt;""),$Q292-$B292,"")</f>
        <v/>
      </c>
      <c r="S292" s="2" t="n"/>
      <c r="T292" s="2" t="n"/>
      <c r="U292" s="2" t="n"/>
      <c r="V292" s="4" t="n"/>
      <c r="W292" s="3" t="n"/>
      <c r="X292" s="4" t="n"/>
      <c r="Y292" s="4">
        <f>IF(AND($P292&lt;&gt;"",$Q292="",$P292&lt;TODAY(),OR($N292="Новый",$N292="В работе",$N292="На проверке (QA)",$N292="Отложен")),"ДА","")</f>
        <v/>
      </c>
      <c r="Z292" s="2" t="n"/>
    </row>
    <row r="293">
      <c r="A293" s="6">
        <f>IF($G293="","","BUG-"&amp;TEXT(ROW()-1,"000"))</f>
        <v/>
      </c>
      <c r="B293" s="7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8" t="n"/>
      <c r="L293" s="8" t="n"/>
      <c r="M293" s="6" t="n"/>
      <c r="N293" s="8" t="n"/>
      <c r="O293" s="6" t="n"/>
      <c r="P293" s="7" t="n"/>
      <c r="Q293" s="7" t="n"/>
      <c r="R293" s="9">
        <f>IF(AND($B293&lt;&gt;"",$Q293&lt;&gt;""),$Q293-$B293,"")</f>
        <v/>
      </c>
      <c r="S293" s="6" t="n"/>
      <c r="T293" s="6" t="n"/>
      <c r="U293" s="6" t="n"/>
      <c r="V293" s="8" t="n"/>
      <c r="W293" s="7" t="n"/>
      <c r="X293" s="8" t="n"/>
      <c r="Y293" s="8">
        <f>IF(AND($P293&lt;&gt;"",$Q293="",$P293&lt;TODAY(),OR($N293="Новый",$N293="В работе",$N293="На проверке (QA)",$N293="Отложен")),"ДА","")</f>
        <v/>
      </c>
      <c r="Z293" s="6" t="n"/>
    </row>
    <row r="294">
      <c r="A294" s="2">
        <f>IF($G294="","","BUG-"&amp;TEXT(ROW()-1,"000"))</f>
        <v/>
      </c>
      <c r="B294" s="3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4" t="n"/>
      <c r="L294" s="4" t="n"/>
      <c r="M294" s="2" t="n"/>
      <c r="N294" s="4" t="n"/>
      <c r="O294" s="2" t="n"/>
      <c r="P294" s="3" t="n"/>
      <c r="Q294" s="3" t="n"/>
      <c r="R294" s="5">
        <f>IF(AND($B294&lt;&gt;"",$Q294&lt;&gt;""),$Q294-$B294,"")</f>
        <v/>
      </c>
      <c r="S294" s="2" t="n"/>
      <c r="T294" s="2" t="n"/>
      <c r="U294" s="2" t="n"/>
      <c r="V294" s="4" t="n"/>
      <c r="W294" s="3" t="n"/>
      <c r="X294" s="4" t="n"/>
      <c r="Y294" s="4">
        <f>IF(AND($P294&lt;&gt;"",$Q294="",$P294&lt;TODAY(),OR($N294="Новый",$N294="В работе",$N294="На проверке (QA)",$N294="Отложен")),"ДА","")</f>
        <v/>
      </c>
      <c r="Z294" s="2" t="n"/>
    </row>
    <row r="295">
      <c r="A295" s="6">
        <f>IF($G295="","","BUG-"&amp;TEXT(ROW()-1,"000"))</f>
        <v/>
      </c>
      <c r="B295" s="7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8" t="n"/>
      <c r="L295" s="8" t="n"/>
      <c r="M295" s="6" t="n"/>
      <c r="N295" s="8" t="n"/>
      <c r="O295" s="6" t="n"/>
      <c r="P295" s="7" t="n"/>
      <c r="Q295" s="7" t="n"/>
      <c r="R295" s="9">
        <f>IF(AND($B295&lt;&gt;"",$Q295&lt;&gt;""),$Q295-$B295,"")</f>
        <v/>
      </c>
      <c r="S295" s="6" t="n"/>
      <c r="T295" s="6" t="n"/>
      <c r="U295" s="6" t="n"/>
      <c r="V295" s="8" t="n"/>
      <c r="W295" s="7" t="n"/>
      <c r="X295" s="8" t="n"/>
      <c r="Y295" s="8">
        <f>IF(AND($P295&lt;&gt;"",$Q295="",$P295&lt;TODAY(),OR($N295="Новый",$N295="В работе",$N295="На проверке (QA)",$N295="Отложен")),"ДА","")</f>
        <v/>
      </c>
      <c r="Z295" s="6" t="n"/>
    </row>
    <row r="296">
      <c r="A296" s="2">
        <f>IF($G296="","","BUG-"&amp;TEXT(ROW()-1,"000"))</f>
        <v/>
      </c>
      <c r="B296" s="3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4" t="n"/>
      <c r="L296" s="4" t="n"/>
      <c r="M296" s="2" t="n"/>
      <c r="N296" s="4" t="n"/>
      <c r="O296" s="2" t="n"/>
      <c r="P296" s="3" t="n"/>
      <c r="Q296" s="3" t="n"/>
      <c r="R296" s="5">
        <f>IF(AND($B296&lt;&gt;"",$Q296&lt;&gt;""),$Q296-$B296,"")</f>
        <v/>
      </c>
      <c r="S296" s="2" t="n"/>
      <c r="T296" s="2" t="n"/>
      <c r="U296" s="2" t="n"/>
      <c r="V296" s="4" t="n"/>
      <c r="W296" s="3" t="n"/>
      <c r="X296" s="4" t="n"/>
      <c r="Y296" s="4">
        <f>IF(AND($P296&lt;&gt;"",$Q296="",$P296&lt;TODAY(),OR($N296="Новый",$N296="В работе",$N296="На проверке (QA)",$N296="Отложен")),"ДА","")</f>
        <v/>
      </c>
      <c r="Z296" s="2" t="n"/>
    </row>
    <row r="297">
      <c r="A297" s="6">
        <f>IF($G297="","","BUG-"&amp;TEXT(ROW()-1,"000"))</f>
        <v/>
      </c>
      <c r="B297" s="7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8" t="n"/>
      <c r="L297" s="8" t="n"/>
      <c r="M297" s="6" t="n"/>
      <c r="N297" s="8" t="n"/>
      <c r="O297" s="6" t="n"/>
      <c r="P297" s="7" t="n"/>
      <c r="Q297" s="7" t="n"/>
      <c r="R297" s="9">
        <f>IF(AND($B297&lt;&gt;"",$Q297&lt;&gt;""),$Q297-$B297,"")</f>
        <v/>
      </c>
      <c r="S297" s="6" t="n"/>
      <c r="T297" s="6" t="n"/>
      <c r="U297" s="6" t="n"/>
      <c r="V297" s="8" t="n"/>
      <c r="W297" s="7" t="n"/>
      <c r="X297" s="8" t="n"/>
      <c r="Y297" s="8">
        <f>IF(AND($P297&lt;&gt;"",$Q297="",$P297&lt;TODAY(),OR($N297="Новый",$N297="В работе",$N297="На проверке (QA)",$N297="Отложен")),"ДА","")</f>
        <v/>
      </c>
      <c r="Z297" s="6" t="n"/>
    </row>
    <row r="298">
      <c r="A298" s="2">
        <f>IF($G298="","","BUG-"&amp;TEXT(ROW()-1,"000"))</f>
        <v/>
      </c>
      <c r="B298" s="3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4" t="n"/>
      <c r="L298" s="4" t="n"/>
      <c r="M298" s="2" t="n"/>
      <c r="N298" s="4" t="n"/>
      <c r="O298" s="2" t="n"/>
      <c r="P298" s="3" t="n"/>
      <c r="Q298" s="3" t="n"/>
      <c r="R298" s="5">
        <f>IF(AND($B298&lt;&gt;"",$Q298&lt;&gt;""),$Q298-$B298,"")</f>
        <v/>
      </c>
      <c r="S298" s="2" t="n"/>
      <c r="T298" s="2" t="n"/>
      <c r="U298" s="2" t="n"/>
      <c r="V298" s="4" t="n"/>
      <c r="W298" s="3" t="n"/>
      <c r="X298" s="4" t="n"/>
      <c r="Y298" s="4">
        <f>IF(AND($P298&lt;&gt;"",$Q298="",$P298&lt;TODAY(),OR($N298="Новый",$N298="В работе",$N298="На проверке (QA)",$N298="Отложен")),"ДА","")</f>
        <v/>
      </c>
      <c r="Z298" s="2" t="n"/>
    </row>
    <row r="299">
      <c r="A299" s="6">
        <f>IF($G299="","","BUG-"&amp;TEXT(ROW()-1,"000"))</f>
        <v/>
      </c>
      <c r="B299" s="7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8" t="n"/>
      <c r="L299" s="8" t="n"/>
      <c r="M299" s="6" t="n"/>
      <c r="N299" s="8" t="n"/>
      <c r="O299" s="6" t="n"/>
      <c r="P299" s="7" t="n"/>
      <c r="Q299" s="7" t="n"/>
      <c r="R299" s="9">
        <f>IF(AND($B299&lt;&gt;"",$Q299&lt;&gt;""),$Q299-$B299,"")</f>
        <v/>
      </c>
      <c r="S299" s="6" t="n"/>
      <c r="T299" s="6" t="n"/>
      <c r="U299" s="6" t="n"/>
      <c r="V299" s="8" t="n"/>
      <c r="W299" s="7" t="n"/>
      <c r="X299" s="8" t="n"/>
      <c r="Y299" s="8">
        <f>IF(AND($P299&lt;&gt;"",$Q299="",$P299&lt;TODAY(),OR($N299="Новый",$N299="В работе",$N299="На проверке (QA)",$N299="Отложен")),"ДА","")</f>
        <v/>
      </c>
      <c r="Z299" s="6" t="n"/>
    </row>
    <row r="300">
      <c r="A300" s="2">
        <f>IF($G300="","","BUG-"&amp;TEXT(ROW()-1,"000"))</f>
        <v/>
      </c>
      <c r="B300" s="3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4" t="n"/>
      <c r="L300" s="4" t="n"/>
      <c r="M300" s="2" t="n"/>
      <c r="N300" s="4" t="n"/>
      <c r="O300" s="2" t="n"/>
      <c r="P300" s="3" t="n"/>
      <c r="Q300" s="3" t="n"/>
      <c r="R300" s="5">
        <f>IF(AND($B300&lt;&gt;"",$Q300&lt;&gt;""),$Q300-$B300,"")</f>
        <v/>
      </c>
      <c r="S300" s="2" t="n"/>
      <c r="T300" s="2" t="n"/>
      <c r="U300" s="2" t="n"/>
      <c r="V300" s="4" t="n"/>
      <c r="W300" s="3" t="n"/>
      <c r="X300" s="4" t="n"/>
      <c r="Y300" s="4">
        <f>IF(AND($P300&lt;&gt;"",$Q300="",$P300&lt;TODAY(),OR($N300="Новый",$N300="В работе",$N300="На проверке (QA)",$N300="Отложен")),"ДА","")</f>
        <v/>
      </c>
      <c r="Z300" s="2" t="n"/>
    </row>
    <row r="301">
      <c r="A301" s="6">
        <f>IF($G301="","","BUG-"&amp;TEXT(ROW()-1,"000"))</f>
        <v/>
      </c>
      <c r="B301" s="7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8" t="n"/>
      <c r="L301" s="8" t="n"/>
      <c r="M301" s="6" t="n"/>
      <c r="N301" s="8" t="n"/>
      <c r="O301" s="6" t="n"/>
      <c r="P301" s="7" t="n"/>
      <c r="Q301" s="7" t="n"/>
      <c r="R301" s="9">
        <f>IF(AND($B301&lt;&gt;"",$Q301&lt;&gt;""),$Q301-$B301,"")</f>
        <v/>
      </c>
      <c r="S301" s="6" t="n"/>
      <c r="T301" s="6" t="n"/>
      <c r="U301" s="6" t="n"/>
      <c r="V301" s="8" t="n"/>
      <c r="W301" s="7" t="n"/>
      <c r="X301" s="8" t="n"/>
      <c r="Y301" s="8">
        <f>IF(AND($P301&lt;&gt;"",$Q301="",$P301&lt;TODAY(),OR($N301="Новый",$N301="В работе",$N301="На проверке (QA)",$N301="Отложен")),"ДА","")</f>
        <v/>
      </c>
      <c r="Z301" s="6" t="n"/>
    </row>
  </sheetData>
  <autoFilter ref="A1:Z301"/>
  <conditionalFormatting sqref="K2:K301">
    <cfRule type="expression" priority="1" dxfId="0" stopIfTrue="0">
      <formula>$K2="Blocker"</formula>
    </cfRule>
    <cfRule type="expression" priority="2" dxfId="1" stopIfTrue="0">
      <formula>$K2="Critical"</formula>
    </cfRule>
    <cfRule type="expression" priority="3" dxfId="2" stopIfTrue="0">
      <formula>$K2="Major"</formula>
    </cfRule>
    <cfRule type="expression" priority="4" dxfId="3" stopIfTrue="0">
      <formula>$K2="Minor"</formula>
    </cfRule>
    <cfRule type="expression" priority="5" dxfId="4" stopIfTrue="0">
      <formula>$K2="Trivial"</formula>
    </cfRule>
  </conditionalFormatting>
  <conditionalFormatting sqref="L2:L301">
    <cfRule type="expression" priority="6" dxfId="0" stopIfTrue="0">
      <formula>$L2="P1 - Критический"</formula>
    </cfRule>
    <cfRule type="expression" priority="7" dxfId="5" stopIfTrue="0">
      <formula>$L2="P2 - Высокий"</formula>
    </cfRule>
    <cfRule type="expression" priority="8" dxfId="2" stopIfTrue="0">
      <formula>$L2="P3 - Средний"</formula>
    </cfRule>
    <cfRule type="expression" priority="9" dxfId="4" stopIfTrue="0">
      <formula>$L2="P4 - Низкий"</formula>
    </cfRule>
  </conditionalFormatting>
  <conditionalFormatting sqref="N2:N301">
    <cfRule type="expression" priority="10" dxfId="6" stopIfTrue="0">
      <formula>$N2="Новый"</formula>
    </cfRule>
    <cfRule type="expression" priority="11" dxfId="7" stopIfTrue="0">
      <formula>$N2="В работе"</formula>
    </cfRule>
    <cfRule type="expression" priority="12" dxfId="8" stopIfTrue="0">
      <formula>$N2="На проверке (QA)"</formula>
    </cfRule>
    <cfRule type="expression" priority="13" dxfId="9" stopIfTrue="0">
      <formula>$N2="Исправлен"</formula>
    </cfRule>
    <cfRule type="expression" priority="14" dxfId="10" stopIfTrue="0">
      <formula>$N2="Отклонён"</formula>
    </cfRule>
    <cfRule type="expression" priority="15" dxfId="10" stopIfTrue="0">
      <formula>$N2="Дубликат"</formula>
    </cfRule>
    <cfRule type="expression" priority="16" dxfId="11" stopIfTrue="0">
      <formula>$N2="Отложен"</formula>
    </cfRule>
  </conditionalFormatting>
  <conditionalFormatting sqref="Y2:Y301">
    <cfRule type="expression" priority="17" dxfId="0" stopIfTrue="0">
      <formula>$Y2="ДА"</formula>
    </cfRule>
  </conditionalFormatting>
  <conditionalFormatting sqref="X2:X301">
    <cfRule type="expression" priority="18" dxfId="0" stopIfTrue="0">
      <formula>$X2="Не пройдено"</formula>
    </cfRule>
    <cfRule type="expression" priority="19" dxfId="4" stopIfTrue="0">
      <formula>$X2="Пройдено"</formula>
    </cfRule>
  </conditionalFormatting>
  <dataValidations count="7">
    <dataValidation sqref="D2:D301" showDropDown="0" showInputMessage="1" showErrorMessage="1" allowBlank="1" errorTitle="Недопустимое значение" error="Выберите тип из списка." promptTitle="Тип бага" prompt="Выберите тип из списка." type="list">
      <formula1>Справочники!$A$2:$A$9</formula1>
    </dataValidation>
    <dataValidation sqref="E2:E301" showDropDown="0" showInputMessage="1" showErrorMessage="1" allowBlank="1" errorTitle="Недопустимое значение" error="Выберите компонент из списка." promptTitle="Компонент" prompt="Выберите компонент из списка." type="list">
      <formula1>Справочники!$B$2:$B$7</formula1>
    </dataValidation>
    <dataValidation sqref="K2:K301" showDropDown="0" showInputMessage="1" showErrorMessage="1" allowBlank="1" errorTitle="Недопустимое значение" error="Выберите серьёзность из списка." promptTitle="Серьёзность" prompt="Выберите серьёзность из списка." type="list">
      <formula1>Справочники!$C$2:$C$6</formula1>
    </dataValidation>
    <dataValidation sqref="L2:L301" showDropDown="0" showInputMessage="1" showErrorMessage="1" allowBlank="1" errorTitle="Недопустимое значение" error="Выберите приоритет из списка." promptTitle="Приоритет" prompt="Выберите приоритет из списка." type="list">
      <formula1>Справочники!$D$2:$D$5</formula1>
    </dataValidation>
    <dataValidation sqref="N2:N301" showDropDown="0" showInputMessage="1" showErrorMessage="1" allowBlank="1" errorTitle="Недопустимое значение" error="Выберите статус из списка." promptTitle="Статус" prompt="Выберите статус из списка." type="list">
      <formula1>Справочники!$E$2:$E$8</formula1>
    </dataValidation>
    <dataValidation sqref="X2:X301" showDropDown="0" showInputMessage="1" showErrorMessage="1" allowBlank="1" errorTitle="Недопустимое значение" error="Выберите результат регрессии." promptTitle="Регрессия" prompt="Выберите результат регрессии." type="list">
      <formula1>Справочники!$F$2:$F$4</formula1>
    </dataValidation>
    <dataValidation sqref="O2:O301" showDropDown="0" showInputMessage="1" showErrorMessage="1" allowBlank="1" errorTitle="Недопустимое значение" error="Выберите исполнителя или «Не назначен»." promptTitle="Исполнитель" prompt="Выберите исполнителя или «Не назначен»." type="list">
      <formula1>Справочники!$G$2:$G$6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3" customWidth="1" min="3" max="3"/>
    <col width="24" customWidth="1" min="4" max="4"/>
    <col width="10" customWidth="1" min="5" max="5"/>
    <col width="10" customWidth="1" min="6" max="6"/>
    <col width="22" customWidth="1" min="7" max="7"/>
    <col width="10" customWidth="1" min="8" max="8"/>
    <col width="10" customWidth="1" min="9" max="9"/>
    <col width="24" customWidth="1" min="10" max="10"/>
    <col width="10" customWidth="1" min="11" max="11"/>
    <col width="10" customWidth="1" min="12" max="12"/>
  </cols>
  <sheetData>
    <row r="1" ht="30" customHeight="1">
      <c r="A1" s="10" t="inlineStr">
        <is>
          <t>Дашборд по багам — WebPlant</t>
        </is>
      </c>
    </row>
    <row r="2">
      <c r="A2" s="11" t="inlineStr">
        <is>
          <t>Сводка пересчитывается автоматически по листу «Реестр багов»</t>
        </is>
      </c>
      <c r="H2" s="12" t="inlineStr">
        <is>
          <t>Данные на:</t>
        </is>
      </c>
      <c r="I2" s="13">
        <f>TODAY()</f>
        <v/>
      </c>
    </row>
    <row r="3" ht="20" customHeight="1">
      <c r="A3" s="14" t="inlineStr">
        <is>
          <t>Ключевые показатели</t>
        </is>
      </c>
      <c r="D3" s="14" t="inlineStr">
        <is>
          <t>По статусам</t>
        </is>
      </c>
      <c r="G3" s="14" t="inlineStr">
        <is>
          <t>По серьёзности</t>
        </is>
      </c>
      <c r="J3" s="14" t="inlineStr">
        <is>
          <t>По компонентам</t>
        </is>
      </c>
    </row>
    <row r="4" ht="24" customHeight="1">
      <c r="A4" s="15" t="inlineStr">
        <is>
          <t>Всего багов в реестре</t>
        </is>
      </c>
      <c r="B4" s="16">
        <f>COUNTIF('Реестр багов'!$G$2:$G$301,"?*")</f>
        <v/>
      </c>
      <c r="D4" s="1" t="inlineStr">
        <is>
          <t>Статус</t>
        </is>
      </c>
      <c r="E4" s="1" t="inlineStr">
        <is>
          <t>Кол-во</t>
        </is>
      </c>
      <c r="F4" s="1" t="inlineStr">
        <is>
          <t>Доля</t>
        </is>
      </c>
      <c r="G4" s="1" t="inlineStr">
        <is>
          <t>Серьёзность</t>
        </is>
      </c>
      <c r="H4" s="1" t="inlineStr">
        <is>
          <t>Кол-во</t>
        </is>
      </c>
      <c r="I4" s="1" t="inlineStr">
        <is>
          <t>Доля</t>
        </is>
      </c>
      <c r="J4" s="1" t="inlineStr">
        <is>
          <t>Компонент</t>
        </is>
      </c>
      <c r="K4" s="1" t="inlineStr">
        <is>
          <t>Кол-во</t>
        </is>
      </c>
      <c r="L4" s="1" t="inlineStr">
        <is>
          <t>Доля</t>
        </is>
      </c>
    </row>
    <row r="5" ht="18" customHeight="1">
      <c r="A5" s="15" t="inlineStr">
        <is>
          <t>Открытых (Новый / В работе / На проверке)</t>
        </is>
      </c>
      <c r="B5" s="16">
        <f>COUNTIF('Реестр багов'!$N$2:$N$301,"Новый")+COUNTIF('Реестр багов'!$N$2:$N$301,"В работе")+COUNTIF('Реестр багов'!$N$2:$N$301,"На проверке (QA)")</f>
        <v/>
      </c>
      <c r="D5" s="17" t="inlineStr">
        <is>
          <t>Новый</t>
        </is>
      </c>
      <c r="E5" s="18">
        <f>COUNTIF('Реестр багов'!$N$2:$N$301,"Новый")</f>
        <v/>
      </c>
      <c r="F5" s="19">
        <f>IFERROR(E5/$B$4,0)</f>
        <v/>
      </c>
      <c r="G5" s="17" t="inlineStr">
        <is>
          <t>Blocker</t>
        </is>
      </c>
      <c r="H5" s="18">
        <f>COUNTIF('Реестр багов'!$K$2:$K$301,"Blocker")</f>
        <v/>
      </c>
      <c r="I5" s="19">
        <f>IFERROR(H5/$B$4,0)</f>
        <v/>
      </c>
      <c r="J5" s="17" t="inlineStr">
        <is>
          <t>Frontend</t>
        </is>
      </c>
      <c r="K5" s="18">
        <f>COUNTIF('Реестр багов'!$E$2:$E$301,"Frontend")</f>
        <v/>
      </c>
      <c r="L5" s="19">
        <f>IFERROR(K5/$B$4,0)</f>
        <v/>
      </c>
    </row>
    <row r="6" ht="18" customHeight="1">
      <c r="A6" s="15" t="inlineStr">
        <is>
          <t>Исправлено</t>
        </is>
      </c>
      <c r="B6" s="16">
        <f>COUNTIF('Реестр багов'!$N$2:$N$301,"Исправлен")</f>
        <v/>
      </c>
      <c r="D6" s="17" t="inlineStr">
        <is>
          <t>В работе</t>
        </is>
      </c>
      <c r="E6" s="18">
        <f>COUNTIF('Реестр багов'!$N$2:$N$301,"В работе")</f>
        <v/>
      </c>
      <c r="F6" s="19">
        <f>IFERROR(E6/$B$4,0)</f>
        <v/>
      </c>
      <c r="G6" s="17" t="inlineStr">
        <is>
          <t>Critical</t>
        </is>
      </c>
      <c r="H6" s="18">
        <f>COUNTIF('Реестр багов'!$K$2:$K$301,"Critical")</f>
        <v/>
      </c>
      <c r="I6" s="19">
        <f>IFERROR(H6/$B$4,0)</f>
        <v/>
      </c>
      <c r="J6" s="17" t="inlineStr">
        <is>
          <t>Backend/API</t>
        </is>
      </c>
      <c r="K6" s="18">
        <f>COUNTIF('Реестр багов'!$E$2:$E$301,"Backend/API")</f>
        <v/>
      </c>
      <c r="L6" s="19">
        <f>IFERROR(K6/$B$4,0)</f>
        <v/>
      </c>
    </row>
    <row r="7" ht="18" customHeight="1">
      <c r="A7" s="15" t="inlineStr">
        <is>
          <t>Отклонено / дубликаты</t>
        </is>
      </c>
      <c r="B7" s="16">
        <f>COUNTIF('Реестр багов'!$N$2:$N$301,"Отклонён")+COUNTIF('Реестр багов'!$N$2:$N$301,"Дубликат")</f>
        <v/>
      </c>
      <c r="D7" s="17" t="inlineStr">
        <is>
          <t>На проверке (QA)</t>
        </is>
      </c>
      <c r="E7" s="18">
        <f>COUNTIF('Реестр багов'!$N$2:$N$301,"На проверке (QA)")</f>
        <v/>
      </c>
      <c r="F7" s="19">
        <f>IFERROR(E7/$B$4,0)</f>
        <v/>
      </c>
      <c r="G7" s="17" t="inlineStr">
        <is>
          <t>Major</t>
        </is>
      </c>
      <c r="H7" s="18">
        <f>COUNTIF('Реестр багов'!$K$2:$K$301,"Major")</f>
        <v/>
      </c>
      <c r="I7" s="19">
        <f>IFERROR(H7/$B$4,0)</f>
        <v/>
      </c>
      <c r="J7" s="17" t="inlineStr">
        <is>
          <t>База данных</t>
        </is>
      </c>
      <c r="K7" s="18">
        <f>COUNTIF('Реестр багов'!$E$2:$E$301,"База данных")</f>
        <v/>
      </c>
      <c r="L7" s="19">
        <f>IFERROR(K7/$B$4,0)</f>
        <v/>
      </c>
    </row>
    <row r="8" ht="18" customHeight="1">
      <c r="A8" s="15" t="inlineStr">
        <is>
          <t>Отложено</t>
        </is>
      </c>
      <c r="B8" s="16">
        <f>COUNTIF('Реестр багов'!$N$2:$N$301,"Отложен")</f>
        <v/>
      </c>
      <c r="D8" s="17" t="inlineStr">
        <is>
          <t>Исправлен</t>
        </is>
      </c>
      <c r="E8" s="18">
        <f>COUNTIF('Реестр багов'!$N$2:$N$301,"Исправлен")</f>
        <v/>
      </c>
      <c r="F8" s="19">
        <f>IFERROR(E8/$B$4,0)</f>
        <v/>
      </c>
      <c r="G8" s="17" t="inlineStr">
        <is>
          <t>Minor</t>
        </is>
      </c>
      <c r="H8" s="18">
        <f>COUNTIF('Реестр багов'!$K$2:$K$301,"Minor")</f>
        <v/>
      </c>
      <c r="I8" s="19">
        <f>IFERROR(H8/$B$4,0)</f>
        <v/>
      </c>
      <c r="J8" s="17" t="inlineStr">
        <is>
          <t>Инфраструктура/DevOps</t>
        </is>
      </c>
      <c r="K8" s="18">
        <f>COUNTIF('Реестр багов'!$E$2:$E$301,"Инфраструктура/DevOps")</f>
        <v/>
      </c>
      <c r="L8" s="19">
        <f>IFERROR(K8/$B$4,0)</f>
        <v/>
      </c>
    </row>
    <row r="9" ht="18" customHeight="1">
      <c r="A9" s="20" t="inlineStr">
        <is>
          <t>Доля исправленных</t>
        </is>
      </c>
      <c r="B9" s="21">
        <f>IFERROR(B6/B4,0)</f>
        <v/>
      </c>
      <c r="D9" s="17" t="inlineStr">
        <is>
          <t>Отклонён</t>
        </is>
      </c>
      <c r="E9" s="18">
        <f>COUNTIF('Реестр багов'!$N$2:$N$301,"Отклонён")</f>
        <v/>
      </c>
      <c r="F9" s="19">
        <f>IFERROR(E9/$B$4,0)</f>
        <v/>
      </c>
      <c r="G9" s="17" t="inlineStr">
        <is>
          <t>Trivial</t>
        </is>
      </c>
      <c r="H9" s="18">
        <f>COUNTIF('Реестр багов'!$K$2:$K$301,"Trivial")</f>
        <v/>
      </c>
      <c r="I9" s="19">
        <f>IFERROR(H9/$B$4,0)</f>
        <v/>
      </c>
      <c r="J9" s="17" t="inlineStr">
        <is>
          <t>Дизайн/UI</t>
        </is>
      </c>
      <c r="K9" s="18">
        <f>COUNTIF('Реестр багов'!$E$2:$E$301,"Дизайн/UI")</f>
        <v/>
      </c>
      <c r="L9" s="19">
        <f>IFERROR(K9/$B$4,0)</f>
        <v/>
      </c>
    </row>
    <row r="10" ht="18" customHeight="1">
      <c r="A10" s="20" t="inlineStr">
        <is>
          <t>Просрочено (план &lt; сегодня, фикса нет)</t>
        </is>
      </c>
      <c r="B10" s="16">
        <f>COUNTIF('Реестр багов'!$Y$2:$Y$301,"ДА")</f>
        <v/>
      </c>
      <c r="D10" s="17" t="inlineStr">
        <is>
          <t>Дубликат</t>
        </is>
      </c>
      <c r="E10" s="18">
        <f>COUNTIF('Реестр багов'!$N$2:$N$301,"Дубликат")</f>
        <v/>
      </c>
      <c r="F10" s="19">
        <f>IFERROR(E10/$B$4,0)</f>
        <v/>
      </c>
      <c r="J10" s="17" t="inlineStr">
        <is>
          <t>Документация</t>
        </is>
      </c>
      <c r="K10" s="18">
        <f>COUNTIF('Реестр багов'!$E$2:$E$301,"Документация")</f>
        <v/>
      </c>
      <c r="L10" s="19">
        <f>IFERROR(K10/$B$4,0)</f>
        <v/>
      </c>
    </row>
    <row r="11" ht="18" customHeight="1">
      <c r="A11" s="20" t="inlineStr">
        <is>
          <t>Среднее время фикса, дн.</t>
        </is>
      </c>
      <c r="B11" s="22">
        <f>IFERROR(AVERAGE('Реестр багов'!$R$2:$R$301),0)</f>
        <v/>
      </c>
      <c r="D11" s="17" t="inlineStr">
        <is>
          <t>Отложен</t>
        </is>
      </c>
      <c r="E11" s="18">
        <f>COUNTIF('Реестр багов'!$N$2:$N$301,"Отложен")</f>
        <v/>
      </c>
      <c r="F11" s="19">
        <f>IFERROR(E11/$B$4,0)</f>
        <v/>
      </c>
    </row>
    <row r="12" ht="18" customHeight="1">
      <c r="A12" s="20" t="inlineStr">
        <is>
          <t>Максимум до фикса, дн.</t>
        </is>
      </c>
      <c r="B12" s="16">
        <f>IFERROR(MAX('Реестр багов'!$R$2:$R$301),0)</f>
        <v/>
      </c>
    </row>
    <row r="13" ht="18" customHeight="1">
      <c r="A13" s="20" t="inlineStr">
        <is>
          <t>Открытых Blocker / Critical</t>
        </is>
      </c>
      <c r="B13" s="16">
        <f>COUNTIFS('Реестр багов'!$K$2:$K$301,"Blocker",'Реестр багов'!$N$2:$N$301,"Новый")+COUNTIFS('Реестр багов'!$K$2:$K$301,"Blocker",'Реестр багов'!$N$2:$N$301,"В работе")+COUNTIFS('Реестр багов'!$K$2:$K$301,"Blocker",'Реестр багов'!$N$2:$N$301,"На проверке (QA)")+COUNTIFS('Реестр багов'!$K$2:$K$301,"Critical",'Реестр багов'!$N$2:$N$301,"Новый")+COUNTIFS('Реестр багов'!$K$2:$K$301,"Critical",'Реестр багов'!$N$2:$N$301,"В работе")+COUNTIFS('Реестр багов'!$K$2:$K$301,"Critical",'Реестр багов'!$N$2:$N$301,"На проверке (QA)")</f>
        <v/>
      </c>
    </row>
    <row r="16" ht="20" customHeight="1">
      <c r="A16" s="14" t="inlineStr">
        <is>
          <t>По приоритетам</t>
        </is>
      </c>
      <c r="D16" s="14" t="inlineStr">
        <is>
          <t>По исполнителям</t>
        </is>
      </c>
    </row>
    <row r="17" ht="24" customHeight="1">
      <c r="A17" s="1" t="inlineStr">
        <is>
          <t>Приоритет</t>
        </is>
      </c>
      <c r="B17" s="1" t="inlineStr">
        <is>
          <t>Кол-во</t>
        </is>
      </c>
      <c r="D17" s="1" t="inlineStr">
        <is>
          <t>Исполнитель</t>
        </is>
      </c>
      <c r="E17" s="1" t="inlineStr">
        <is>
          <t>Открытых / всего</t>
        </is>
      </c>
    </row>
    <row r="18">
      <c r="A18" s="17" t="inlineStr">
        <is>
          <t>P1 - Критический</t>
        </is>
      </c>
      <c r="B18" s="18">
        <f>COUNTIF('Реестр багов'!$L$2:$L$301,"P1 - Критический")</f>
        <v/>
      </c>
      <c r="D18" s="17" t="inlineStr">
        <is>
          <t>Не назначен</t>
        </is>
      </c>
      <c r="E18" s="23">
        <f>COUNTIFS('Реестр багов'!$O$2:$O$301,"Не назначен",'Реестр багов'!$N$2:$N$301,"Новый")+COUNTIFS('Реестр багов'!$O$2:$O$301,"Не назначен",'Реестр багов'!$N$2:$N$301,"В работе")+COUNTIFS('Реестр багов'!$O$2:$O$301,"Не назначен",'Реестр багов'!$N$2:$N$301,"На проверке (QA)")&amp;" / "&amp;COUNTIF('Реестр багов'!$O$2:$O$301,"Не назначен")</f>
        <v/>
      </c>
    </row>
    <row r="19">
      <c r="A19" s="17" t="inlineStr">
        <is>
          <t>P2 - Высокий</t>
        </is>
      </c>
      <c r="B19" s="18">
        <f>COUNTIF('Реестр багов'!$L$2:$L$301,"P2 - Высокий")</f>
        <v/>
      </c>
      <c r="D19" s="17" t="inlineStr">
        <is>
          <t>Иванов И.</t>
        </is>
      </c>
      <c r="E19" s="23">
        <f>COUNTIFS('Реестр багов'!$O$2:$O$301,"Иванов И.",'Реестр багов'!$N$2:$N$301,"Новый")+COUNTIFS('Реестр багов'!$O$2:$O$301,"Иванов И.",'Реестр багов'!$N$2:$N$301,"В работе")+COUNTIFS('Реестр багов'!$O$2:$O$301,"Иванов И.",'Реестр багов'!$N$2:$N$301,"На проверке (QA)")&amp;" / "&amp;COUNTIF('Реестр багов'!$O$2:$O$301,"Иванов И.")</f>
        <v/>
      </c>
    </row>
    <row r="20">
      <c r="A20" s="17" t="inlineStr">
        <is>
          <t>P3 - Средний</t>
        </is>
      </c>
      <c r="B20" s="18">
        <f>COUNTIF('Реестр багов'!$L$2:$L$301,"P3 - Средний")</f>
        <v/>
      </c>
      <c r="D20" s="17" t="inlineStr">
        <is>
          <t>Петров П.</t>
        </is>
      </c>
      <c r="E20" s="23">
        <f>COUNTIFS('Реестр багов'!$O$2:$O$301,"Петров П.",'Реестр багов'!$N$2:$N$301,"Новый")+COUNTIFS('Реестр багов'!$O$2:$O$301,"Петров П.",'Реестр багов'!$N$2:$N$301,"В работе")+COUNTIFS('Реестр багов'!$O$2:$O$301,"Петров П.",'Реестр багов'!$N$2:$N$301,"На проверке (QA)")&amp;" / "&amp;COUNTIF('Реестр багов'!$O$2:$O$301,"Петров П.")</f>
        <v/>
      </c>
    </row>
    <row r="21">
      <c r="A21" s="17" t="inlineStr">
        <is>
          <t>P4 - Низкий</t>
        </is>
      </c>
      <c r="B21" s="18">
        <f>COUNTIF('Реестр багов'!$L$2:$L$301,"P4 - Низкий")</f>
        <v/>
      </c>
      <c r="D21" s="17" t="inlineStr">
        <is>
          <t>Сидорова А.</t>
        </is>
      </c>
      <c r="E21" s="23">
        <f>COUNTIFS('Реестр багов'!$O$2:$O$301,"Сидорова А.",'Реестр багов'!$N$2:$N$301,"Новый")+COUNTIFS('Реестр багов'!$O$2:$O$301,"Сидорова А.",'Реестр багов'!$N$2:$N$301,"В работе")+COUNTIFS('Реестр багов'!$O$2:$O$301,"Сидорова А.",'Реестр багов'!$N$2:$N$301,"На проверке (QA)")&amp;" / "&amp;COUNTIF('Реестр багов'!$O$2:$O$301,"Сидорова А.")</f>
        <v/>
      </c>
    </row>
    <row r="22">
      <c r="D22" s="17" t="inlineStr">
        <is>
          <t>Кузнецов Д.</t>
        </is>
      </c>
      <c r="E22" s="23">
        <f>COUNTIFS('Реестр багов'!$O$2:$O$301,"Кузнецов Д.",'Реестр багов'!$N$2:$N$301,"Новый")+COUNTIFS('Реестр багов'!$O$2:$O$301,"Кузнецов Д.",'Реестр багов'!$N$2:$N$301,"В работе")+COUNTIFS('Реестр багов'!$O$2:$O$301,"Кузнецов Д.",'Реестр багов'!$N$2:$N$301,"На проверке (QA)")&amp;" / "&amp;COUNTIF('Реестр багов'!$O$2:$O$301,"Кузнецов Д.")</f>
        <v/>
      </c>
    </row>
    <row r="24" ht="20" customHeight="1">
      <c r="A24" s="14" t="inlineStr">
        <is>
          <t>Результат регрессии</t>
        </is>
      </c>
    </row>
    <row r="25" ht="24" customHeight="1">
      <c r="A25" s="1" t="inlineStr">
        <is>
          <t>Результат</t>
        </is>
      </c>
      <c r="B25" s="1" t="inlineStr">
        <is>
          <t>Кол-во</t>
        </is>
      </c>
    </row>
    <row r="26">
      <c r="A26" s="17" t="inlineStr">
        <is>
          <t>Пройдено</t>
        </is>
      </c>
      <c r="B26" s="18">
        <f>COUNTIF('Реестр багов'!$X$2:$X$301,"Пройдено")</f>
        <v/>
      </c>
    </row>
    <row r="27">
      <c r="A27" s="17" t="inlineStr">
        <is>
          <t>Не пройдено</t>
        </is>
      </c>
      <c r="B27" s="18">
        <f>COUNTIF('Реестр багов'!$X$2:$X$301,"Не пройдено")</f>
        <v/>
      </c>
    </row>
    <row r="28">
      <c r="A28" s="17" t="inlineStr">
        <is>
          <t>Не проверялось</t>
        </is>
      </c>
      <c r="B28" s="18">
        <f>COUNTIF('Реестр багов'!$X$2:$X$301,"Не проверялось")</f>
        <v/>
      </c>
    </row>
    <row r="31">
      <c r="A31" s="24" t="inlineStr">
        <is>
          <t>Как читать дашборд</t>
        </is>
      </c>
    </row>
    <row r="32">
      <c r="A32" s="25" t="inlineStr">
        <is>
          <t>• «Открытых» — баги в статусах «Новый», «В работе», «На проверке (QA)».</t>
        </is>
      </c>
    </row>
    <row r="33">
      <c r="A33" s="25" t="inlineStr">
        <is>
          <t>• «Просрочено» — плановый срок фикса прошёл, фактической даты фикса нет.</t>
        </is>
      </c>
    </row>
    <row r="34">
      <c r="A34" s="25" t="inlineStr">
        <is>
          <t>• «Доля исправленных» = Исправлено / Всего багов.</t>
        </is>
      </c>
    </row>
    <row r="35">
      <c r="A35" s="25" t="inlineStr">
        <is>
          <t>• Все значения пересчитываются при изменении листа «Реестр багов».</t>
        </is>
      </c>
    </row>
  </sheetData>
  <mergeCells count="8">
    <mergeCell ref="A3:B3"/>
    <mergeCell ref="A24:B24"/>
    <mergeCell ref="A16:B16"/>
    <mergeCell ref="D16:E16"/>
    <mergeCell ref="A1:L1"/>
    <mergeCell ref="D3:F3"/>
    <mergeCell ref="G3:I3"/>
    <mergeCell ref="J3:L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</cols>
  <sheetData>
    <row r="1">
      <c r="A1" s="1" t="inlineStr">
        <is>
          <t>Тип бага</t>
        </is>
      </c>
      <c r="B1" s="1" t="inlineStr">
        <is>
          <t>Компонент</t>
        </is>
      </c>
      <c r="C1" s="1" t="inlineStr">
        <is>
          <t>Серьёзность</t>
        </is>
      </c>
      <c r="D1" s="1" t="inlineStr">
        <is>
          <t>Приоритет</t>
        </is>
      </c>
      <c r="E1" s="1" t="inlineStr">
        <is>
          <t>Статус</t>
        </is>
      </c>
      <c r="F1" s="1" t="inlineStr">
        <is>
          <t>Результат регрессии</t>
        </is>
      </c>
      <c r="G1" s="1" t="inlineStr">
        <is>
          <t>Исполнитель</t>
        </is>
      </c>
    </row>
    <row r="2">
      <c r="A2" s="26" t="inlineStr">
        <is>
          <t>Функциональный</t>
        </is>
      </c>
      <c r="B2" s="26" t="inlineStr">
        <is>
          <t>Frontend</t>
        </is>
      </c>
      <c r="C2" s="26" t="inlineStr">
        <is>
          <t>Blocker</t>
        </is>
      </c>
      <c r="D2" s="26" t="inlineStr">
        <is>
          <t>P1 - Критический</t>
        </is>
      </c>
      <c r="E2" s="26" t="inlineStr">
        <is>
          <t>Новый</t>
        </is>
      </c>
      <c r="F2" s="26" t="inlineStr">
        <is>
          <t>Пройдено</t>
        </is>
      </c>
      <c r="G2" s="26" t="inlineStr">
        <is>
          <t>Не назначен</t>
        </is>
      </c>
    </row>
    <row r="3">
      <c r="A3" s="26" t="inlineStr">
        <is>
          <t>Логика/расчёт</t>
        </is>
      </c>
      <c r="B3" s="26" t="inlineStr">
        <is>
          <t>Backend/API</t>
        </is>
      </c>
      <c r="C3" s="26" t="inlineStr">
        <is>
          <t>Critical</t>
        </is>
      </c>
      <c r="D3" s="26" t="inlineStr">
        <is>
          <t>P2 - Высокий</t>
        </is>
      </c>
      <c r="E3" s="26" t="inlineStr">
        <is>
          <t>В работе</t>
        </is>
      </c>
      <c r="F3" s="26" t="inlineStr">
        <is>
          <t>Не пройдено</t>
        </is>
      </c>
      <c r="G3" s="26" t="inlineStr">
        <is>
          <t>Иванов И.</t>
        </is>
      </c>
    </row>
    <row r="4">
      <c r="A4" s="26" t="inlineStr">
        <is>
          <t>Визуальный/UI</t>
        </is>
      </c>
      <c r="B4" s="26" t="inlineStr">
        <is>
          <t>База данных</t>
        </is>
      </c>
      <c r="C4" s="26" t="inlineStr">
        <is>
          <t>Major</t>
        </is>
      </c>
      <c r="D4" s="26" t="inlineStr">
        <is>
          <t>P3 - Средний</t>
        </is>
      </c>
      <c r="E4" s="26" t="inlineStr">
        <is>
          <t>На проверке (QA)</t>
        </is>
      </c>
      <c r="F4" s="26" t="inlineStr">
        <is>
          <t>Не проверялось</t>
        </is>
      </c>
      <c r="G4" s="26" t="inlineStr">
        <is>
          <t>Петров П.</t>
        </is>
      </c>
    </row>
    <row r="5">
      <c r="A5" s="26" t="inlineStr">
        <is>
          <t>Производительность</t>
        </is>
      </c>
      <c r="B5" s="26" t="inlineStr">
        <is>
          <t>Инфраструктура/DevOps</t>
        </is>
      </c>
      <c r="C5" s="26" t="inlineStr">
        <is>
          <t>Minor</t>
        </is>
      </c>
      <c r="D5" s="26" t="inlineStr">
        <is>
          <t>P4 - Низкий</t>
        </is>
      </c>
      <c r="E5" s="26" t="inlineStr">
        <is>
          <t>Исправлен</t>
        </is>
      </c>
      <c r="G5" s="26" t="inlineStr">
        <is>
          <t>Сидорова А.</t>
        </is>
      </c>
    </row>
    <row r="6">
      <c r="A6" s="26" t="inlineStr">
        <is>
          <t>Безопасность</t>
        </is>
      </c>
      <c r="B6" s="26" t="inlineStr">
        <is>
          <t>Дизайн/UI</t>
        </is>
      </c>
      <c r="C6" s="26" t="inlineStr">
        <is>
          <t>Trivial</t>
        </is>
      </c>
      <c r="E6" s="26" t="inlineStr">
        <is>
          <t>Отклонён</t>
        </is>
      </c>
      <c r="G6" s="26" t="inlineStr">
        <is>
          <t>Кузнецов Д.</t>
        </is>
      </c>
    </row>
    <row r="7">
      <c r="A7" s="26" t="inlineStr">
        <is>
          <t>Совместимость</t>
        </is>
      </c>
      <c r="B7" s="26" t="inlineStr">
        <is>
          <t>Документация</t>
        </is>
      </c>
      <c r="E7" s="26" t="inlineStr">
        <is>
          <t>Дубликат</t>
        </is>
      </c>
    </row>
    <row r="8">
      <c r="A8" s="26" t="inlineStr">
        <is>
          <t>Текст/контент</t>
        </is>
      </c>
      <c r="E8" s="26" t="inlineStr">
        <is>
          <t>Отложен</t>
        </is>
      </c>
    </row>
    <row r="9">
      <c r="A9" s="26" t="inlineStr">
        <is>
          <t>Инфраструктура</t>
        </is>
      </c>
    </row>
    <row r="12">
      <c r="A12" s="11" t="inlineStr">
        <is>
          <t>Служебный лист: значения используются в выпадающих списках реестра.</t>
        </is>
      </c>
    </row>
    <row r="13">
      <c r="A13" s="11" t="inlineStr">
        <is>
          <t>Не удаляйте и не переименовывайте значения — иначе списки и дашборд перестанут работать.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62" customWidth="1" min="2" max="2"/>
    <col width="46" customWidth="1" min="3" max="3"/>
  </cols>
  <sheetData>
    <row r="1" ht="30" customHeight="1">
      <c r="A1" s="10" t="inlineStr">
        <is>
          <t>Инструкция: как вести реестр багов и фиксаций</t>
        </is>
      </c>
    </row>
    <row r="3">
      <c r="A3" s="24" t="inlineStr">
        <is>
          <t>1. Назначение</t>
        </is>
      </c>
    </row>
    <row r="4" ht="28" customHeight="1">
      <c r="A4" s="27" t="inlineStr">
        <is>
          <t>• Реестр нужен, чтобы фиксировать каждый найденный дефект, отслеживать его исправление и хранить историю проверки.</t>
        </is>
      </c>
    </row>
    <row r="5" ht="28" customHeight="1">
      <c r="A5" s="27" t="inlineStr">
        <is>
          <t>• Одна строка = один баг. Дубликаты не заводят заново: ставят статус «Дубликат» и указывают ID исходного бага.</t>
        </is>
      </c>
    </row>
    <row r="6" ht="28" customHeight="1">
      <c r="A6" s="27" t="inlineStr">
        <is>
          <t>• Строки 2–11 листа «Реестр багов» заполнены примерами. Замените их своими багами (или очистите) — формулы и выпадающие списки останутся до строки 301.</t>
        </is>
      </c>
    </row>
    <row r="8">
      <c r="A8" s="24" t="inlineStr">
        <is>
          <t>2. Порядок работы</t>
        </is>
      </c>
    </row>
    <row r="9" ht="24" customHeight="1">
      <c r="A9" s="28" t="inlineStr">
        <is>
          <t>Этап</t>
        </is>
      </c>
      <c r="B9" s="28" t="inlineStr">
        <is>
          <t>Что сделать</t>
        </is>
      </c>
      <c r="C9" s="28" t="inlineStr">
        <is>
          <t>Ответственный</t>
        </is>
      </c>
    </row>
    <row r="10" ht="30" customHeight="1">
      <c r="A10" s="29" t="inlineStr">
        <is>
          <t>1. Найти дефект</t>
        </is>
      </c>
      <c r="B10" s="29" t="inlineStr">
        <is>
          <t>Убедиться, что баг воспроизводится минимум дважды.</t>
        </is>
      </c>
      <c r="C10" s="29" t="inlineStr">
        <is>
          <t>QA / тестировщик</t>
        </is>
      </c>
    </row>
    <row r="11" ht="30" customHeight="1">
      <c r="A11" s="29" t="inlineStr">
        <is>
          <t>2. Завести строку</t>
        </is>
      </c>
      <c r="B11" s="29" t="inlineStr">
        <is>
          <t>Заполнить колонки B–M: дата, автор, тип, компонент, экран, описание, шаги, ожидание/факт, серьёзность, приоритет, окружение.</t>
        </is>
      </c>
      <c r="C11" s="29" t="inlineStr">
        <is>
          <t>QA / тестировщик</t>
        </is>
      </c>
    </row>
    <row r="12" ht="30" customHeight="1">
      <c r="A12" s="29" t="inlineStr">
        <is>
          <t>3. Назначить</t>
        </is>
      </c>
      <c r="B12" s="29" t="inlineStr">
        <is>
          <t>Выбрать исполнителя и плановый срок фикса (колонки O, P); статус → «Новый» → «В работе».</t>
        </is>
      </c>
      <c r="C12" s="29" t="inlineStr">
        <is>
          <t>Тимлид / QA</t>
        </is>
      </c>
    </row>
    <row r="13" ht="30" customHeight="1">
      <c r="A13" s="29" t="inlineStr">
        <is>
          <t>4. Исправить</t>
        </is>
      </c>
      <c r="B13" s="29" t="inlineStr">
        <is>
          <t>Заполнить S–U: коммит/ветку/PR, файлы, описание решения; статус → «На проверке (QA)», дата фикса — в Q.</t>
        </is>
      </c>
      <c r="C13" s="29" t="inlineStr">
        <is>
          <t>Разработчик</t>
        </is>
      </c>
    </row>
    <row r="14" ht="30" customHeight="1">
      <c r="A14" s="29" t="inlineStr">
        <is>
          <t>5. Проверить</t>
        </is>
      </c>
      <c r="B14" s="29" t="inlineStr">
        <is>
          <t>Прогнать шаги воспроизведения и регресс: колонки V, W, X; статус → «Исправлен» или «В работе».</t>
        </is>
      </c>
      <c r="C14" s="29" t="inlineStr">
        <is>
          <t>QA / тестировщик</t>
        </is>
      </c>
    </row>
    <row r="15" ht="30" customHeight="1">
      <c r="A15" s="29" t="inlineStr">
        <is>
          <t>6. Закрыть</t>
        </is>
      </c>
      <c r="B15" s="29" t="inlineStr">
        <is>
          <t>При необходимости добавить комментарий в Z. Если дефект не воспроизводится — статус «Отклонён» с пояснением.</t>
        </is>
      </c>
      <c r="C15" s="29" t="inlineStr">
        <is>
          <t>QA / тимлид</t>
        </is>
      </c>
    </row>
    <row r="17">
      <c r="A17" s="24" t="inlineStr">
        <is>
          <t>3. Описание колонок</t>
        </is>
      </c>
    </row>
    <row r="18" ht="24" customHeight="1">
      <c r="A18" s="28" t="inlineStr">
        <is>
          <t>Колонка</t>
        </is>
      </c>
      <c r="B18" s="28" t="inlineStr">
        <is>
          <t>Что указывать</t>
        </is>
      </c>
      <c r="C18" s="28" t="inlineStr">
        <is>
          <t>Пример / правило</t>
        </is>
      </c>
    </row>
    <row r="19" ht="26" customHeight="1">
      <c r="A19" s="29" t="inlineStr">
        <is>
          <t>A. ID бага</t>
        </is>
      </c>
      <c r="B19" s="29" t="inlineStr">
        <is>
          <t>Заполняется автоматически: BUG-001, BUG-002…</t>
        </is>
      </c>
      <c r="C19" s="29" t="inlineStr">
        <is>
          <t>Не вводить вручную</t>
        </is>
      </c>
    </row>
    <row r="20" ht="26" customHeight="1">
      <c r="A20" s="29" t="inlineStr">
        <is>
          <t>B. Дата обнаружения</t>
        </is>
      </c>
      <c r="B20" s="29" t="inlineStr">
        <is>
          <t>Дата, когда дефект найден</t>
        </is>
      </c>
      <c r="C20" s="29" t="inlineStr">
        <is>
          <t>12.09.2026</t>
        </is>
      </c>
    </row>
    <row r="21" ht="26" customHeight="1">
      <c r="A21" s="29" t="inlineStr">
        <is>
          <t>C. Обнаружил</t>
        </is>
      </c>
      <c r="B21" s="29" t="inlineStr">
        <is>
          <t>Имя тестировщика или автора обращения</t>
        </is>
      </c>
      <c r="C21" s="29" t="inlineStr">
        <is>
          <t>Смирнова Е. (QA)</t>
        </is>
      </c>
    </row>
    <row r="22" ht="26" customHeight="1">
      <c r="A22" s="29" t="inlineStr">
        <is>
          <t>D. Тип бага</t>
        </is>
      </c>
      <c r="B22" s="29" t="inlineStr">
        <is>
          <t>Категория дефекта (список)</t>
        </is>
      </c>
      <c r="C22" s="29" t="inlineStr">
        <is>
          <t>Функциональный, Визуальный/UI…</t>
        </is>
      </c>
    </row>
    <row r="23" ht="26" customHeight="1">
      <c r="A23" s="29" t="inlineStr">
        <is>
          <t>E. Компонент</t>
        </is>
      </c>
      <c r="B23" s="29" t="inlineStr">
        <is>
          <t>Часть системы (список)</t>
        </is>
      </c>
      <c r="C23" s="29" t="inlineStr">
        <is>
          <t>Frontend, Backend/API, БД…</t>
        </is>
      </c>
    </row>
    <row r="24" ht="26" customHeight="1">
      <c r="A24" s="29" t="inlineStr">
        <is>
          <t>F. Экран / URL / API-метод</t>
        </is>
      </c>
      <c r="B24" s="29" t="inlineStr">
        <is>
          <t>Где обнаружено</t>
        </is>
      </c>
      <c r="C24" s="29" t="inlineStr">
        <is>
          <t>/catalog, POST /api/orders</t>
        </is>
      </c>
    </row>
    <row r="25" ht="26" customHeight="1">
      <c r="A25" s="29" t="inlineStr">
        <is>
          <t>G. Краткое описание</t>
        </is>
      </c>
      <c r="B25" s="29" t="inlineStr">
        <is>
          <t>Заголовок в одну строку: что не так и где</t>
        </is>
      </c>
      <c r="C25" s="29" t="inlineStr">
        <is>
          <t>«Фильтр цены не сбрасывается»</t>
        </is>
      </c>
    </row>
    <row r="26" ht="26" customHeight="1">
      <c r="A26" s="29" t="inlineStr">
        <is>
          <t>H. Шаги воспроизведения</t>
        </is>
      </c>
      <c r="B26" s="29" t="inlineStr">
        <is>
          <t>Нумерованные шаги, минимально достаточные</t>
        </is>
      </c>
      <c r="C26" s="29" t="inlineStr">
        <is>
          <t>1. Открыть… 2. Нажать…</t>
        </is>
      </c>
    </row>
    <row r="27" ht="26" customHeight="1">
      <c r="A27" s="29" t="inlineStr">
        <is>
          <t>I. Ожидаемый результат</t>
        </is>
      </c>
      <c r="B27" s="29" t="inlineStr">
        <is>
          <t>Как должно работать по требованиям</t>
        </is>
      </c>
      <c r="C27" s="29" t="inlineStr">
        <is>
          <t>Фильтр сброшен</t>
        </is>
      </c>
    </row>
    <row r="28" ht="26" customHeight="1">
      <c r="A28" s="29" t="inlineStr">
        <is>
          <t>J. Фактический результат</t>
        </is>
      </c>
      <c r="B28" s="29" t="inlineStr">
        <is>
          <t>Что происходит на самом деле (+ текст ошибки)</t>
        </is>
      </c>
      <c r="C28" s="29" t="inlineStr">
        <is>
          <t>Диапазон сохраняется</t>
        </is>
      </c>
    </row>
    <row r="29" ht="26" customHeight="1">
      <c r="A29" s="29" t="inlineStr">
        <is>
          <t>K. Серьёзность</t>
        </is>
      </c>
      <c r="B29" s="29" t="inlineStr">
        <is>
          <t>Влияние дефекта: Blocker / Critical / Major / Minor / Trivial</t>
        </is>
      </c>
      <c r="C29" s="29" t="inlineStr">
        <is>
          <t>Major</t>
        </is>
      </c>
    </row>
    <row r="30" ht="26" customHeight="1">
      <c r="A30" s="29" t="inlineStr">
        <is>
          <t>L. Приоритет</t>
        </is>
      </c>
      <c r="B30" s="29" t="inlineStr">
        <is>
          <t>Очередность исправления: P1…P4</t>
        </is>
      </c>
      <c r="C30" s="29" t="inlineStr">
        <is>
          <t>P2 - Высокий</t>
        </is>
      </c>
    </row>
    <row r="31" ht="26" customHeight="1">
      <c r="A31" s="29" t="inlineStr">
        <is>
          <t>M. Окружение</t>
        </is>
      </c>
      <c r="B31" s="29" t="inlineStr">
        <is>
          <t>ОС, браузер/устройство, версия, стенд</t>
        </is>
      </c>
      <c r="C31" s="29" t="inlineStr">
        <is>
          <t>Chrome 129 / Windows 11</t>
        </is>
      </c>
    </row>
    <row r="32" ht="26" customHeight="1">
      <c r="A32" s="29" t="inlineStr">
        <is>
          <t>N. Статус</t>
        </is>
      </c>
      <c r="B32" s="29" t="inlineStr">
        <is>
          <t>Текущее состояние (список)</t>
        </is>
      </c>
      <c r="C32" s="29" t="inlineStr">
        <is>
          <t>Новый, В работе, Исправлен…</t>
        </is>
      </c>
    </row>
    <row r="33" ht="26" customHeight="1">
      <c r="A33" s="29" t="inlineStr">
        <is>
          <t>O. Исполнитель</t>
        </is>
      </c>
      <c r="B33" s="29" t="inlineStr">
        <is>
          <t>Кому назначен фикс</t>
        </is>
      </c>
      <c r="C33" s="29" t="inlineStr">
        <is>
          <t>Иванов И.</t>
        </is>
      </c>
    </row>
    <row r="34" ht="26" customHeight="1">
      <c r="A34" s="29" t="inlineStr">
        <is>
          <t>P. Плановый срок фикса</t>
        </is>
      </c>
      <c r="B34" s="29" t="inlineStr">
        <is>
          <t>Дедлайн по SLA (см. раздел 5)</t>
        </is>
      </c>
      <c r="C34" s="29" t="inlineStr">
        <is>
          <t>28.09.2026</t>
        </is>
      </c>
    </row>
    <row r="35" ht="26" customHeight="1">
      <c r="A35" s="29" t="inlineStr">
        <is>
          <t>Q. Дата фикса (факт)</t>
        </is>
      </c>
      <c r="B35" s="29" t="inlineStr">
        <is>
          <t>Дата, когда фикс попал в сборку</t>
        </is>
      </c>
      <c r="C35" s="29" t="inlineStr">
        <is>
          <t>16.09.2026</t>
        </is>
      </c>
    </row>
    <row r="36" ht="26" customHeight="1">
      <c r="A36" s="29" t="inlineStr">
        <is>
          <t>R. Время до фикса, дн.</t>
        </is>
      </c>
      <c r="B36" s="29" t="inlineStr">
        <is>
          <t>Считается автоматически: Q − B</t>
        </is>
      </c>
      <c r="C36" s="29" t="inlineStr">
        <is>
          <t>4</t>
        </is>
      </c>
    </row>
    <row r="37" ht="26" customHeight="1">
      <c r="A37" s="29" t="inlineStr">
        <is>
          <t>S. Коммит / ветка / PR</t>
        </is>
      </c>
      <c r="B37" s="29" t="inlineStr">
        <is>
          <t>Ссылка на PR или имя ветки</t>
        </is>
      </c>
      <c r="C37" s="29" t="inlineStr">
        <is>
          <t>hotfix/catalog-filter</t>
        </is>
      </c>
    </row>
    <row r="38" ht="26" customHeight="1">
      <c r="A38" s="29" t="inlineStr">
        <is>
          <t>T. Затронутые файлы</t>
        </is>
      </c>
      <c r="B38" s="29" t="inlineStr">
        <is>
          <t>Файлы/модули, изменённые фиксом</t>
        </is>
      </c>
      <c r="C38" s="29" t="inlineStr">
        <is>
          <t>Catalog/PriceFilter.jsx</t>
        </is>
      </c>
    </row>
    <row r="39" ht="26" customHeight="1">
      <c r="A39" s="29" t="inlineStr">
        <is>
          <t>U. Что исправлено</t>
        </is>
      </c>
      <c r="B39" s="29" t="inlineStr">
        <is>
          <t>Суть решения, а не пересказ кода</t>
        </is>
      </c>
      <c r="C39" s="29" t="inlineStr">
        <is>
          <t>Состояние фильтра в URL</t>
        </is>
      </c>
    </row>
    <row r="40" ht="26" customHeight="1">
      <c r="A40" s="29" t="inlineStr">
        <is>
          <t>V. Проверил (QA)</t>
        </is>
      </c>
      <c r="B40" s="29" t="inlineStr">
        <is>
          <t>Кто проводил проверку после фикса</t>
        </is>
      </c>
      <c r="C40" s="29" t="inlineStr">
        <is>
          <t>Смирнова Е. (QA)</t>
        </is>
      </c>
    </row>
    <row r="41" ht="26" customHeight="1">
      <c r="A41" s="29" t="inlineStr">
        <is>
          <t>W. Дата проверки</t>
        </is>
      </c>
      <c r="B41" s="29" t="inlineStr">
        <is>
          <t>Дата регресса</t>
        </is>
      </c>
      <c r="C41" s="29" t="inlineStr">
        <is>
          <t>17.09.2026</t>
        </is>
      </c>
    </row>
    <row r="42" ht="26" customHeight="1">
      <c r="A42" s="29" t="inlineStr">
        <is>
          <t>X. Результат регрессии</t>
        </is>
      </c>
      <c r="B42" s="29" t="inlineStr">
        <is>
          <t>Пройдено / Не пройдено / Не проверялось</t>
        </is>
      </c>
      <c r="C42" s="29" t="inlineStr">
        <is>
          <t>Пройдено</t>
        </is>
      </c>
    </row>
    <row r="43" ht="26" customHeight="1">
      <c r="A43" s="29" t="inlineStr">
        <is>
          <t>Y. Просрочено</t>
        </is>
      </c>
      <c r="B43" s="29" t="inlineStr">
        <is>
          <t>Считается автоматически: план прошёл, фикса нет</t>
        </is>
      </c>
      <c r="C43" s="29" t="inlineStr">
        <is>
          <t>ДА — красным</t>
        </is>
      </c>
    </row>
    <row r="44" ht="26" customHeight="1">
      <c r="A44" s="29" t="inlineStr">
        <is>
          <t>Z. Комментарии</t>
        </is>
      </c>
      <c r="B44" s="29" t="inlineStr">
        <is>
          <t>Договорённости, ссылки, причины отказа/отсрочки</t>
        </is>
      </c>
      <c r="C44" s="29" t="inlineStr">
        <is>
          <t>Ждём макет</t>
        </is>
      </c>
    </row>
    <row r="46">
      <c r="A46" s="24" t="inlineStr">
        <is>
          <t>4. Классификация серьёзности</t>
        </is>
      </c>
    </row>
    <row r="47" ht="24" customHeight="1">
      <c r="A47" s="28" t="inlineStr">
        <is>
          <t>Серьёзность</t>
        </is>
      </c>
      <c r="B47" s="28" t="inlineStr">
        <is>
          <t>Описание</t>
        </is>
      </c>
      <c r="C47" s="28" t="inlineStr">
        <is>
          <t>Пример</t>
        </is>
      </c>
    </row>
    <row r="48" ht="26" customHeight="1">
      <c r="A48" s="29" t="inlineStr">
        <is>
          <t>Blocker</t>
        </is>
      </c>
      <c r="B48" s="29" t="inlineStr">
        <is>
          <t>Система неработоспособна, бизнес-процесс остановлен, обходного пути нет</t>
        </is>
      </c>
      <c r="C48" s="29" t="inlineStr">
        <is>
          <t>Оформление заказа возвращает 500</t>
        </is>
      </c>
    </row>
    <row r="49" ht="26" customHeight="1">
      <c r="A49" s="29" t="inlineStr">
        <is>
          <t>Critical</t>
        </is>
      </c>
      <c r="B49" s="29" t="inlineStr">
        <is>
          <t>Ключевая функция не работает или есть риск для безопасности/данных</t>
        </is>
      </c>
      <c r="C49" s="29" t="inlineStr">
        <is>
          <t>Нет защиты от brute-force</t>
        </is>
      </c>
    </row>
    <row r="50" ht="26" customHeight="1">
      <c r="A50" s="29" t="inlineStr">
        <is>
          <t>Major</t>
        </is>
      </c>
      <c r="B50" s="29" t="inlineStr">
        <is>
          <t>Функция работает неверно, но есть обходной путь</t>
        </is>
      </c>
      <c r="C50" s="29" t="inlineStr">
        <is>
          <t>Неверный расчёт скидки</t>
        </is>
      </c>
    </row>
    <row r="51" ht="26" customHeight="1">
      <c r="A51" s="29" t="inlineStr">
        <is>
          <t>Minor</t>
        </is>
      </c>
      <c r="B51" s="29" t="inlineStr">
        <is>
          <t>Неудобство или косметический дефект, работе не мешает</t>
        </is>
      </c>
      <c r="C51" s="29" t="inlineStr">
        <is>
          <t>Кнопка перекрывает текст</t>
        </is>
      </c>
    </row>
    <row r="52" ht="26" customHeight="1">
      <c r="A52" s="29" t="inlineStr">
        <is>
          <t>Trivial</t>
        </is>
      </c>
      <c r="B52" s="29" t="inlineStr">
        <is>
          <t>Опечатка, мелкая неточность оформления</t>
        </is>
      </c>
      <c r="C52" s="29" t="inlineStr">
        <is>
          <t>Опечатка в названии</t>
        </is>
      </c>
    </row>
    <row r="54">
      <c r="A54" s="24" t="inlineStr">
        <is>
          <t>5. Приоритет и рекомендуемый срок фикса (SLA)</t>
        </is>
      </c>
    </row>
    <row r="55" ht="24" customHeight="1">
      <c r="A55" s="28" t="inlineStr">
        <is>
          <t>Приоритет</t>
        </is>
      </c>
      <c r="B55" s="28" t="inlineStr">
        <is>
          <t>Когда ставить</t>
        </is>
      </c>
      <c r="C55" s="28" t="inlineStr">
        <is>
          <t>Срок фикса</t>
        </is>
      </c>
    </row>
    <row r="56" ht="26" customHeight="1">
      <c r="A56" s="29" t="inlineStr">
        <is>
          <t>P1 - Критический</t>
        </is>
      </c>
      <c r="B56" s="29" t="inlineStr">
        <is>
          <t>Blocker/Critical, блокирует релиз или прод</t>
        </is>
      </c>
      <c r="C56" s="29" t="inlineStr">
        <is>
          <t>1 рабочий день</t>
        </is>
      </c>
    </row>
    <row r="57" ht="26" customHeight="1">
      <c r="A57" s="29" t="inlineStr">
        <is>
          <t>P2 - Высокий</t>
        </is>
      </c>
      <c r="B57" s="29" t="inlineStr">
        <is>
          <t>Major на основном сценарии, массовый пользователь</t>
        </is>
      </c>
      <c r="C57" s="29" t="inlineStr">
        <is>
          <t>2–3 рабочих дня</t>
        </is>
      </c>
    </row>
    <row r="58" ht="26" customHeight="1">
      <c r="A58" s="29" t="inlineStr">
        <is>
          <t>P3 - Средний</t>
        </is>
      </c>
      <c r="B58" s="29" t="inlineStr">
        <is>
          <t>Minor или Major на редком сценарии</t>
        </is>
      </c>
      <c r="C58" s="29" t="inlineStr">
        <is>
          <t>до 2 недель</t>
        </is>
      </c>
    </row>
    <row r="59" ht="26" customHeight="1">
      <c r="A59" s="29" t="inlineStr">
        <is>
          <t>P4 - Низкий</t>
        </is>
      </c>
      <c r="B59" s="29" t="inlineStr">
        <is>
          <t>Trivial, косметика, бэклог</t>
        </is>
      </c>
      <c r="C59" s="29" t="inlineStr">
        <is>
          <t>по плану релиза / бэклог</t>
        </is>
      </c>
    </row>
    <row r="61">
      <c r="A61" s="24" t="inlineStr">
        <is>
          <t>6. Жизненный цикл статусов</t>
        </is>
      </c>
    </row>
    <row r="62" ht="24" customHeight="1">
      <c r="A62" s="28" t="inlineStr">
        <is>
          <t>Переход</t>
        </is>
      </c>
      <c r="B62" s="28" t="inlineStr">
        <is>
          <t>Условие</t>
        </is>
      </c>
    </row>
    <row r="63" ht="22" customHeight="1">
      <c r="A63" s="29" t="inlineStr">
        <is>
          <t>Новый → В работе</t>
        </is>
      </c>
      <c r="B63" s="29" t="inlineStr">
        <is>
          <t>Баг принят в работу, назначен исполнитель и срок</t>
        </is>
      </c>
      <c r="C63" s="29" t="n"/>
    </row>
    <row r="64" ht="22" customHeight="1">
      <c r="A64" s="29" t="inlineStr">
        <is>
          <t>В работе → На проверке (QA)</t>
        </is>
      </c>
      <c r="B64" s="29" t="inlineStr">
        <is>
          <t>Фикс задеплоен на тестовый стенд, заполнены колонки Q, S–U</t>
        </is>
      </c>
      <c r="C64" s="29" t="n"/>
    </row>
    <row r="65" ht="22" customHeight="1">
      <c r="A65" s="29" t="inlineStr">
        <is>
          <t>На проверке (QA) → Исправлен</t>
        </is>
      </c>
      <c r="B65" s="29" t="inlineStr">
        <is>
          <t>Регресс пройден (W, X = «Пройдено»), баг больше не воспроизводится</t>
        </is>
      </c>
      <c r="C65" s="29" t="n"/>
    </row>
    <row r="66" ht="22" customHeight="1">
      <c r="A66" s="29" t="inlineStr">
        <is>
          <t>На проверке (QA) → В работе</t>
        </is>
      </c>
      <c r="B66" s="29" t="inlineStr">
        <is>
          <t>Дефект воспроизводится, нужна доработка (X = «Не пройдено»)</t>
        </is>
      </c>
      <c r="C66" s="29" t="n"/>
    </row>
    <row r="67" ht="22" customHeight="1">
      <c r="A67" s="29" t="inlineStr">
        <is>
          <t>Любой → Отклонён</t>
        </is>
      </c>
      <c r="B67" s="29" t="inlineStr">
        <is>
          <t>Не баг / не воспроизводится / работает по требованиям — причина в Z</t>
        </is>
      </c>
      <c r="C67" s="29" t="n"/>
    </row>
    <row r="68" ht="22" customHeight="1">
      <c r="A68" s="29" t="inlineStr">
        <is>
          <t>Любой → Дубликат</t>
        </is>
      </c>
      <c r="B68" s="29" t="inlineStr">
        <is>
          <t>Указать ID исходного бага в Z</t>
        </is>
      </c>
      <c r="C68" s="29" t="n"/>
    </row>
    <row r="69" ht="22" customHeight="1">
      <c r="A69" s="29" t="inlineStr">
        <is>
          <t>Любой → Отложен</t>
        </is>
      </c>
      <c r="B69" s="29" t="inlineStr">
        <is>
          <t>Перенесено в бэклог, указать причину и срок пересмотра</t>
        </is>
      </c>
      <c r="C69" s="29" t="n"/>
    </row>
    <row r="71">
      <c r="A71" s="24" t="inlineStr">
        <is>
          <t>7. Правила ведения реестра</t>
        </is>
      </c>
    </row>
    <row r="72" ht="26" customHeight="1">
      <c r="A72" s="27" t="inlineStr">
        <is>
          <t>• Не удаляйте строки с исправленными багами — они нужны для статистики и поиска повторных дефектов.</t>
        </is>
      </c>
    </row>
    <row r="73" ht="26" customHeight="1">
      <c r="A73" s="27" t="inlineStr">
        <is>
          <t>• Не меняйте заголовки колонок и значения на листе «Справочники»: от них зависят списки, формулы и дашборд.</t>
        </is>
      </c>
    </row>
    <row r="74" ht="26" customHeight="1">
      <c r="A74" s="27" t="inlineStr">
        <is>
          <t>• Один дефект — одна строка. Разные проявления одной причины фиксируйте в одной строке с перечислением в шагах.</t>
        </is>
      </c>
    </row>
    <row r="75" ht="26" customHeight="1">
      <c r="A75" s="27" t="inlineStr">
        <is>
          <t>• Скриншоты и логи не вставляйте в ячейки: сохраняйте их отдельно, а в колонку Z добавляйте ссылку.</t>
        </is>
      </c>
    </row>
    <row r="76" ht="26" customHeight="1">
      <c r="A76" s="27" t="inlineStr">
        <is>
          <t>• Для отчёта используйте фильтр по колонкам E, K, L, N, O и лист «Дашборд».</t>
        </is>
      </c>
    </row>
    <row r="77" ht="26" customHeight="1">
      <c r="A77" s="27" t="inlineStr">
        <is>
          <t>• Если просрочили срок из колонки P — обновите его и поясните причину в Z, иначе баг автоматически попадёт в «Просрочено».</t>
        </is>
      </c>
    </row>
    <row r="79">
      <c r="A79" s="24" t="inlineStr">
        <is>
          <t>8. Цветовые обозначения</t>
        </is>
      </c>
    </row>
    <row r="80" ht="24" customHeight="1">
      <c r="A80" s="28" t="inlineStr">
        <is>
          <t>Цвет</t>
        </is>
      </c>
      <c r="B80" s="28" t="inlineStr">
        <is>
          <t>Где</t>
        </is>
      </c>
      <c r="C80" s="28" t="inlineStr">
        <is>
          <t>Что означает</t>
        </is>
      </c>
    </row>
    <row r="81" ht="22" customHeight="1">
      <c r="A81" s="29" t="inlineStr">
        <is>
          <t>Красный</t>
        </is>
      </c>
      <c r="B81" s="29" t="inlineStr">
        <is>
          <t>Серьёзность K, колонка Y</t>
        </is>
      </c>
      <c r="C81" s="29" t="inlineStr">
        <is>
          <t>Blocker, Critical или просроченный срок</t>
        </is>
      </c>
    </row>
    <row r="82" ht="22" customHeight="1">
      <c r="A82" s="29" t="inlineStr">
        <is>
          <t>Оранжевый</t>
        </is>
      </c>
      <c r="B82" s="29" t="inlineStr">
        <is>
          <t>Серьёзность K, приоритет L</t>
        </is>
      </c>
      <c r="C82" s="29" t="inlineStr">
        <is>
          <t>Critical-зона: P2 - Высокий</t>
        </is>
      </c>
    </row>
    <row r="83" ht="22" customHeight="1">
      <c r="A83" s="29" t="inlineStr">
        <is>
          <t>Жёлтый</t>
        </is>
      </c>
      <c r="B83" s="29" t="inlineStr">
        <is>
          <t>Серьёзность K, статус N</t>
        </is>
      </c>
      <c r="C83" s="29" t="inlineStr">
        <is>
          <t>Major, статус «Новый»</t>
        </is>
      </c>
    </row>
    <row r="84" ht="22" customHeight="1">
      <c r="A84" s="29" t="inlineStr">
        <is>
          <t>Голубой</t>
        </is>
      </c>
      <c r="B84" s="29" t="inlineStr">
        <is>
          <t>Серьёзность K, статус N</t>
        </is>
      </c>
      <c r="C84" s="29" t="inlineStr">
        <is>
          <t>Minor, статус «В работе»</t>
        </is>
      </c>
    </row>
    <row r="85" ht="22" customHeight="1">
      <c r="A85" s="29" t="inlineStr">
        <is>
          <t>Зелёный</t>
        </is>
      </c>
      <c r="B85" s="29" t="inlineStr">
        <is>
          <t>Серьёзность K, статус N, регресс X</t>
        </is>
      </c>
      <c r="C85" s="29" t="inlineStr">
        <is>
          <t>Trivial, статус «Исправлен», регресс «Пройдено»</t>
        </is>
      </c>
    </row>
    <row r="86" ht="22" customHeight="1">
      <c r="A86" s="29" t="inlineStr">
        <is>
          <t>Серый</t>
        </is>
      </c>
      <c r="B86" s="29" t="inlineStr">
        <is>
          <t>Статус N</t>
        </is>
      </c>
      <c r="C86" s="29" t="inlineStr">
        <is>
          <t>«Отклонён» или «Дубликат»</t>
        </is>
      </c>
    </row>
  </sheetData>
  <mergeCells count="17">
    <mergeCell ref="B69:C69"/>
    <mergeCell ref="B68:C68"/>
    <mergeCell ref="A76:C76"/>
    <mergeCell ref="B64:C64"/>
    <mergeCell ref="A1:C1"/>
    <mergeCell ref="A5:C5"/>
    <mergeCell ref="A75:C75"/>
    <mergeCell ref="B67:C67"/>
    <mergeCell ref="A6:C6"/>
    <mergeCell ref="A74:C74"/>
    <mergeCell ref="B66:C66"/>
    <mergeCell ref="A73:C73"/>
    <mergeCell ref="B63:C63"/>
    <mergeCell ref="A77:C77"/>
    <mergeCell ref="A4:C4"/>
    <mergeCell ref="B65:C65"/>
    <mergeCell ref="A72:C7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2026-10-07T14:35:48Z</dcterms:created>
  <dcterms:modified xmlns:dcterms="http://purl.org/dc/terms/" xmlns:xsi="http://www.w3.org/2001/XMLSchema-instance" xsi:type="dcterms:W3CDTF">2026-10-07T14:35:48Z</dcterms:modified>
</cp:coreProperties>
</file>